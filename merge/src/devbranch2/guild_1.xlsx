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810" firstSheet="1" activeTab="1" autoFilterDateGrouping="1"/>
  </bookViews>
  <sheets>
    <sheet name="CONFIG" sheetId="1" state="visible" r:id="rId1"/>
    <sheet name="Const" sheetId="2" state="visible" r:id="rId2"/>
    <sheet name="Role" sheetId="3" state="visible" r:id="rId3"/>
    <sheet name="Message" sheetId="4" state="visible" r:id="rId4"/>
    <sheet name="OpsPermissions" sheetId="5" state="visible" r:id="rId5"/>
    <sheet name="PersonnelPermissions" sheetId="6" state="visible" r:id="rId6"/>
    <sheet name="RoleLimit" sheetId="7" state="visible" r:id="rId7"/>
    <sheet name="GuildHall" sheetId="8" state="visible" r:id="rId8"/>
    <sheet name="Vault" sheetId="9" state="visible" r:id="rId9"/>
    <sheet name="Store" sheetId="10" state="visible" r:id="rId10"/>
    <sheet name="WingRoom" sheetId="11" state="visible" r:id="rId11"/>
    <sheet name="Library" sheetId="12" state="visible" r:id="rId12"/>
    <sheet name="PetHouse" sheetId="13" state="visible" r:id="rId13"/>
    <sheet name="Quest" sheetId="14" state="visible" r:id="rId14"/>
    <sheet name="QuestCount" sheetId="15" state="visible" r:id="rId15"/>
    <sheet name="WelcomeMessage" sheetId="16" state="visible" r:id="rId16"/>
    <sheet name="SpellData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  <font>
      <name val="等线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24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4" fillId="3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 wrapText="1"/>
    </xf>
    <xf numFmtId="49" fontId="4" fillId="3" borderId="1" applyAlignment="1" pivotButton="0" quotePrefix="0" xfId="1">
      <alignment horizontal="center" vertical="center" wrapText="1"/>
    </xf>
  </cellXfs>
  <cellStyles count="3">
    <cellStyle name="常规" xfId="0" builtinId="0"/>
    <cellStyle name="常规_Sheet1" xfId="1"/>
    <cellStyle name="常规_CONFIG" xfId="2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build-script</author>
  </authors>
  <commentList>
    <comment ref="A20" authorId="0" shapeId="0">
      <text>
        <t>devbranch2 提交1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A13" authorId="0" shapeId="0">
      <text>
        <t>devbranch2 提交1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A20" authorId="0" shapeId="0">
      <text>
        <t>devbranch2 提交1 新增</t>
      </text>
    </comment>
  </commentList>
</comments>
</file>

<file path=xl/comments/comment4.xml><?xml version="1.0" encoding="utf-8"?>
<comments xmlns="http://schemas.openxmlformats.org/spreadsheetml/2006/main">
  <authors>
    <author>build-script</author>
  </authors>
  <commentList>
    <comment ref="A20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B14" sqref="B14"/>
    </sheetView>
  </sheetViews>
  <sheetFormatPr baseColWidth="8" defaultRowHeight="14"/>
  <cols>
    <col width="19.25" bestFit="1" customWidth="1" min="1" max="1"/>
    <col width="18.33203125" bestFit="1" customWidth="1" min="2" max="2"/>
    <col width="22.75" bestFit="1" customWidth="1" min="3" max="3"/>
    <col width="33.83203125" bestFit="1" customWidth="1" min="4" max="4"/>
  </cols>
  <sheetData>
    <row r="1" ht="15" customHeight="1">
      <c r="A1" s="1" t="inlineStr">
        <is>
          <t>表名</t>
        </is>
      </c>
      <c r="B1" s="2" t="inlineStr">
        <is>
          <t>帮派配置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Height="1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E3" s="6" t="inlineStr">
        <is>
          <t>导出格式</t>
        </is>
      </c>
    </row>
    <row r="4" ht="14.5" customHeight="1">
      <c r="B4" s="7" t="inlineStr">
        <is>
          <t>UNIVERSAL</t>
        </is>
      </c>
      <c r="C4" s="7" t="inlineStr">
        <is>
          <t>Const</t>
        </is>
      </c>
      <c r="D4" s="14" t="inlineStr">
        <is>
          <t>u_guild_const_data.py</t>
        </is>
      </c>
      <c r="E4" s="7" t="inlineStr">
        <is>
          <t>CONST</t>
        </is>
      </c>
    </row>
    <row r="5">
      <c r="A5" t="inlineStr">
        <is>
          <t>职位权限</t>
        </is>
      </c>
      <c r="B5" s="7" t="inlineStr">
        <is>
          <t>SERVER</t>
        </is>
      </c>
      <c r="C5" s="7" t="inlineStr">
        <is>
          <t>OpsPermissions</t>
        </is>
      </c>
      <c r="D5" s="7" t="inlineStr">
        <is>
          <t>guild/ops_permissions.py</t>
        </is>
      </c>
    </row>
    <row r="6">
      <c r="B6" s="7" t="inlineStr">
        <is>
          <t>CLIENT</t>
        </is>
      </c>
      <c r="C6" s="7" t="inlineStr">
        <is>
          <t>OpsPermissions</t>
        </is>
      </c>
      <c r="D6" s="7" t="inlineStr">
        <is>
          <t>guild/ops_permissions.py</t>
        </is>
      </c>
    </row>
    <row r="7">
      <c r="A7" t="inlineStr">
        <is>
          <t>人事权限</t>
        </is>
      </c>
      <c r="B7" s="7" t="inlineStr">
        <is>
          <t>SERVER</t>
        </is>
      </c>
      <c r="C7" s="7" t="inlineStr">
        <is>
          <t>PersonnelPermissions</t>
        </is>
      </c>
      <c r="D7" s="7" t="inlineStr">
        <is>
          <t>guild/personnel_permissions.py</t>
        </is>
      </c>
    </row>
    <row r="8">
      <c r="B8" s="7" t="inlineStr">
        <is>
          <t>CLIENT</t>
        </is>
      </c>
      <c r="C8" s="7" t="inlineStr">
        <is>
          <t>PersonnelPermissions</t>
        </is>
      </c>
      <c r="D8" s="7" t="inlineStr">
        <is>
          <t>guild/personnel_permissions.py</t>
        </is>
      </c>
    </row>
    <row r="9">
      <c r="A9" t="inlineStr">
        <is>
          <t>职位人数</t>
        </is>
      </c>
      <c r="B9" s="7" t="inlineStr">
        <is>
          <t>SERVER</t>
        </is>
      </c>
      <c r="C9" s="7" t="inlineStr">
        <is>
          <t>RoleLimit</t>
        </is>
      </c>
      <c r="D9" s="7" t="inlineStr">
        <is>
          <t>guild/role_limit.py</t>
        </is>
      </c>
    </row>
    <row r="10">
      <c r="B10" s="7" t="inlineStr">
        <is>
          <t>CLIENT</t>
        </is>
      </c>
      <c r="C10" s="7" t="inlineStr">
        <is>
          <t>RoleLimit</t>
        </is>
      </c>
      <c r="D10" s="7" t="inlineStr">
        <is>
          <t>guild/role_limit.py</t>
        </is>
      </c>
    </row>
    <row r="11">
      <c r="A11" t="inlineStr">
        <is>
          <t>帮派大厅</t>
        </is>
      </c>
      <c r="B11" s="7" t="inlineStr">
        <is>
          <t>SERVER</t>
        </is>
      </c>
      <c r="C11" s="7" t="inlineStr">
        <is>
          <t>GuildHall</t>
        </is>
      </c>
      <c r="D11" s="7" t="inlineStr">
        <is>
          <t>guild/guild_hall.py</t>
        </is>
      </c>
    </row>
    <row r="12">
      <c r="B12" s="7" t="inlineStr">
        <is>
          <t>CLIENT</t>
        </is>
      </c>
      <c r="C12" s="7" t="inlineStr">
        <is>
          <t>GuildHall</t>
        </is>
      </c>
      <c r="D12" s="7" t="inlineStr">
        <is>
          <t>guild/guild_hall.py</t>
        </is>
      </c>
    </row>
    <row r="13">
      <c r="A13" t="inlineStr">
        <is>
          <t>金库</t>
        </is>
      </c>
      <c r="B13" s="7" t="inlineStr">
        <is>
          <t>SERVER</t>
        </is>
      </c>
      <c r="C13" s="7" t="inlineStr">
        <is>
          <t>Vault</t>
        </is>
      </c>
      <c r="D13" s="7" t="inlineStr">
        <is>
          <t>guild/vault.py</t>
        </is>
      </c>
    </row>
    <row r="14">
      <c r="B14" s="7" t="inlineStr">
        <is>
          <t>CLIENT</t>
        </is>
      </c>
      <c r="C14" s="7" t="inlineStr">
        <is>
          <t>Vault</t>
        </is>
      </c>
      <c r="D14" s="7" t="inlineStr">
        <is>
          <t>guild/vault.py</t>
        </is>
      </c>
    </row>
    <row r="15">
      <c r="A15" t="inlineStr">
        <is>
          <t>商店</t>
        </is>
      </c>
      <c r="B15" s="7" t="inlineStr">
        <is>
          <t>SERVER</t>
        </is>
      </c>
      <c r="C15" s="7" t="inlineStr">
        <is>
          <t>Store</t>
        </is>
      </c>
      <c r="D15" s="7" t="inlineStr">
        <is>
          <t>guild/store.py</t>
        </is>
      </c>
    </row>
    <row r="16">
      <c r="B16" s="7" t="inlineStr">
        <is>
          <t>CLIENT</t>
        </is>
      </c>
      <c r="C16" s="7" t="inlineStr">
        <is>
          <t>Store</t>
        </is>
      </c>
      <c r="D16" s="7" t="inlineStr">
        <is>
          <t>guild/store.py</t>
        </is>
      </c>
    </row>
    <row r="17">
      <c r="A17" t="inlineStr">
        <is>
          <t>厢房</t>
        </is>
      </c>
      <c r="B17" s="7" t="inlineStr">
        <is>
          <t>SERVER</t>
        </is>
      </c>
      <c r="C17" s="7" t="inlineStr">
        <is>
          <t>WingRoom</t>
        </is>
      </c>
      <c r="D17" s="7" t="inlineStr">
        <is>
          <t>guild/wing_room.py</t>
        </is>
      </c>
    </row>
    <row r="18">
      <c r="B18" s="7" t="inlineStr">
        <is>
          <t>CLIENT</t>
        </is>
      </c>
      <c r="C18" s="7" t="inlineStr">
        <is>
          <t>WingRoom</t>
        </is>
      </c>
      <c r="D18" s="7" t="inlineStr">
        <is>
          <t>guild/wing_room.py</t>
        </is>
      </c>
    </row>
    <row r="19">
      <c r="A19" t="inlineStr">
        <is>
          <t>书院</t>
        </is>
      </c>
      <c r="B19" s="7" t="inlineStr">
        <is>
          <t>SERVER</t>
        </is>
      </c>
      <c r="C19" s="7" t="inlineStr">
        <is>
          <t>Library</t>
        </is>
      </c>
      <c r="D19" s="7" t="inlineStr">
        <is>
          <t>guild/library.py</t>
        </is>
      </c>
    </row>
    <row r="20">
      <c r="B20" s="7" t="inlineStr">
        <is>
          <t>CLIENT</t>
        </is>
      </c>
      <c r="C20" s="7" t="inlineStr">
        <is>
          <t>Library</t>
        </is>
      </c>
      <c r="D20" s="7" t="inlineStr">
        <is>
          <t>guild/library.py</t>
        </is>
      </c>
    </row>
    <row r="21">
      <c r="A21" t="inlineStr">
        <is>
          <t>兽栏</t>
        </is>
      </c>
      <c r="B21" s="7" t="inlineStr">
        <is>
          <t>SERVER</t>
        </is>
      </c>
      <c r="C21" s="7" t="inlineStr">
        <is>
          <t>PetHouse</t>
        </is>
      </c>
      <c r="D21" s="7" t="inlineStr">
        <is>
          <t>guild/pet_house.py</t>
        </is>
      </c>
    </row>
    <row r="22">
      <c r="B22" s="7" t="inlineStr">
        <is>
          <t>CLIENT</t>
        </is>
      </c>
      <c r="C22" s="7" t="inlineStr">
        <is>
          <t>PetHouse</t>
        </is>
      </c>
      <c r="D22" s="7" t="inlineStr">
        <is>
          <t>guild/pet_house.py</t>
        </is>
      </c>
    </row>
    <row r="23">
      <c r="A23" t="inlineStr">
        <is>
          <t>帮派任务</t>
        </is>
      </c>
      <c r="B23" s="7" t="inlineStr">
        <is>
          <t>SERVER</t>
        </is>
      </c>
      <c r="C23" s="7" t="inlineStr">
        <is>
          <t>Quest</t>
        </is>
      </c>
      <c r="D23" s="7" t="inlineStr">
        <is>
          <t>guild/quest.py</t>
        </is>
      </c>
    </row>
    <row r="24">
      <c r="B24" s="7" t="inlineStr">
        <is>
          <t>CLIENT</t>
        </is>
      </c>
      <c r="C24" s="7" t="inlineStr">
        <is>
          <t>Quest</t>
        </is>
      </c>
      <c r="D24" s="7" t="inlineStr">
        <is>
          <t>guild/quest.py</t>
        </is>
      </c>
    </row>
    <row r="25">
      <c r="A25" t="inlineStr">
        <is>
          <t>帮派任务数量奖励</t>
        </is>
      </c>
      <c r="B25" s="7" t="inlineStr">
        <is>
          <t>SERVER</t>
        </is>
      </c>
      <c r="C25" s="7" t="inlineStr">
        <is>
          <t>QuestCount</t>
        </is>
      </c>
      <c r="D25" s="7" t="inlineStr">
        <is>
          <t>guild/quest_count.py</t>
        </is>
      </c>
    </row>
    <row r="26">
      <c r="B26" s="7" t="inlineStr">
        <is>
          <t>CLIENT</t>
        </is>
      </c>
      <c r="C26" s="7" t="inlineStr">
        <is>
          <t>QuestCount</t>
        </is>
      </c>
      <c r="D26" s="7" t="inlineStr">
        <is>
          <t>guild/quest_count.py</t>
        </is>
      </c>
    </row>
    <row r="27">
      <c r="A27" t="inlineStr">
        <is>
          <t>帮派迎新词</t>
        </is>
      </c>
      <c r="B27" s="7" t="inlineStr">
        <is>
          <t>SERVER</t>
        </is>
      </c>
      <c r="C27" s="7" t="inlineStr">
        <is>
          <t>WelcomeMessage</t>
        </is>
      </c>
      <c r="D27" s="7" t="inlineStr">
        <is>
          <t>guild/welcome_message.py</t>
        </is>
      </c>
    </row>
    <row r="28">
      <c r="B28" s="7" t="inlineStr">
        <is>
          <t>CLIENT</t>
        </is>
      </c>
      <c r="C28" s="7" t="inlineStr">
        <is>
          <t>WelcomeMessage</t>
        </is>
      </c>
      <c r="D28" s="7" t="inlineStr">
        <is>
          <t>guild/welcome_message.py</t>
        </is>
      </c>
    </row>
    <row r="29">
      <c r="A29" t="inlineStr">
        <is>
          <t>帮派消息</t>
        </is>
      </c>
      <c r="B29" s="7" t="inlineStr">
        <is>
          <t>SERVER</t>
        </is>
      </c>
      <c r="C29" s="7" t="inlineStr">
        <is>
          <t>Message</t>
        </is>
      </c>
      <c r="D29" s="7" t="inlineStr">
        <is>
          <t>guild/message.py</t>
        </is>
      </c>
    </row>
    <row r="30">
      <c r="B30" s="7" t="inlineStr">
        <is>
          <t>CLIENT</t>
        </is>
      </c>
      <c r="C30" s="7" t="inlineStr">
        <is>
          <t>Message</t>
        </is>
      </c>
      <c r="D30" s="7" t="inlineStr">
        <is>
          <t>guild/message.py</t>
        </is>
      </c>
    </row>
    <row r="31">
      <c r="A31" t="inlineStr">
        <is>
          <t>职位</t>
        </is>
      </c>
      <c r="B31" s="7" t="inlineStr">
        <is>
          <t>SERVER</t>
        </is>
      </c>
      <c r="C31" s="7" t="inlineStr">
        <is>
          <t>Role</t>
        </is>
      </c>
      <c r="D31" s="7" t="inlineStr">
        <is>
          <t>guild/role.py</t>
        </is>
      </c>
    </row>
    <row r="32">
      <c r="B32" s="7" t="inlineStr">
        <is>
          <t>CLIENT</t>
        </is>
      </c>
      <c r="C32" s="7" t="inlineStr">
        <is>
          <t>Role</t>
        </is>
      </c>
      <c r="D32" s="7" t="inlineStr">
        <is>
          <t>guild/role.py</t>
        </is>
      </c>
    </row>
    <row r="33">
      <c r="A33" t="inlineStr">
        <is>
          <t>帮派技能</t>
        </is>
      </c>
      <c r="B33" s="7" t="inlineStr">
        <is>
          <t>SERVER</t>
        </is>
      </c>
      <c r="C33" s="7" t="inlineStr">
        <is>
          <t>SpellData</t>
        </is>
      </c>
      <c r="D33" s="7" t="inlineStr">
        <is>
          <t>guild/guild_spell_data.py</t>
        </is>
      </c>
    </row>
    <row r="34">
      <c r="B34" s="7" t="inlineStr">
        <is>
          <t>CLIENT</t>
        </is>
      </c>
      <c r="C34" s="7" t="inlineStr">
        <is>
          <t>SpellData</t>
        </is>
      </c>
      <c r="D34" s="7" t="inlineStr">
        <is>
          <t>guild/guild_spell_data.py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tabSelected="1" topLeftCell="A48" workbookViewId="0">
      <selection activeCell="E86" sqref="E86"/>
    </sheetView>
  </sheetViews>
  <sheetFormatPr baseColWidth="8" defaultColWidth="9" defaultRowHeight="14"/>
  <cols>
    <col width="52.33203125" bestFit="1" customWidth="1" style="17" min="1" max="1"/>
    <col width="11.33203125" bestFit="1" customWidth="1" style="15" min="2" max="2"/>
    <col width="20.58203125" bestFit="1" customWidth="1" style="15" min="3" max="3"/>
    <col width="62.5" bestFit="1" customWidth="1" style="15" min="4" max="4"/>
    <col width="79.25" bestFit="1" customWidth="1" style="15" min="5" max="5"/>
    <col width="9" customWidth="1" style="15" min="6" max="6"/>
    <col width="9" customWidth="1" style="15" min="7" max="16384"/>
  </cols>
  <sheetData>
    <row r="1" ht="16.5" customHeight="1">
      <c r="A1" s="16" t="inlineStr">
        <is>
          <t>常量字段名</t>
        </is>
      </c>
      <c r="B1" s="9" t="inlineStr">
        <is>
          <t>常量数据类型</t>
        </is>
      </c>
      <c r="C1" s="9" t="inlineStr">
        <is>
          <t>常量值</t>
        </is>
      </c>
      <c r="D1" s="9" t="inlineStr">
        <is>
          <t>注释</t>
        </is>
      </c>
    </row>
    <row r="2" ht="16.5" customHeight="1">
      <c r="A2" s="16" t="inlineStr">
        <is>
          <t>key:string</t>
        </is>
      </c>
      <c r="B2" s="10" t="inlineStr">
        <is>
          <t>type:string</t>
        </is>
      </c>
      <c r="C2" s="10" t="inlineStr">
        <is>
          <t>value:string</t>
        </is>
      </c>
      <c r="D2" s="10" t="inlineStr">
        <is>
          <t>comment:string</t>
        </is>
      </c>
    </row>
    <row r="3" ht="16.5" customHeight="1">
      <c r="A3" s="16" t="n"/>
      <c r="B3" s="9" t="n"/>
      <c r="C3" s="9" t="n"/>
      <c r="D3" s="9" t="n"/>
    </row>
    <row r="4" ht="16.5" customHeight="1">
      <c r="A4" s="16" t="n"/>
      <c r="B4" s="9" t="n"/>
      <c r="C4" s="9" t="n"/>
      <c r="D4" s="9" t="n"/>
    </row>
    <row r="5">
      <c r="A5" s="17" t="inlineStr">
        <is>
          <t>GUILD_NAME_MAX_LIMIT</t>
        </is>
      </c>
      <c r="B5" s="15" t="inlineStr">
        <is>
          <t>int</t>
        </is>
      </c>
      <c r="C5" s="15" t="n">
        <v>5</v>
      </c>
      <c r="D5" s="15" t="inlineStr">
        <is>
          <t>帮派名字最长长度限制</t>
        </is>
      </c>
    </row>
    <row r="6">
      <c r="A6" s="17" t="inlineStr">
        <is>
          <t>GUILD_NAME_MIN_LIMIT</t>
        </is>
      </c>
      <c r="B6" s="15" t="inlineStr">
        <is>
          <t>int</t>
        </is>
      </c>
      <c r="C6" s="15" t="n">
        <v>2</v>
      </c>
      <c r="D6" s="15" t="inlineStr">
        <is>
          <t>帮派名字最短长度限制</t>
        </is>
      </c>
    </row>
    <row r="7">
      <c r="A7" s="17" t="inlineStr">
        <is>
          <t>GUILD_NOTICE_MAX_LIMIT</t>
        </is>
      </c>
      <c r="B7" s="15" t="inlineStr">
        <is>
          <t>int</t>
        </is>
      </c>
      <c r="C7" s="15" t="n">
        <v>50</v>
      </c>
      <c r="D7" s="15" t="inlineStr">
        <is>
          <t>帮派宗旨最长长度限制</t>
        </is>
      </c>
    </row>
    <row r="8">
      <c r="A8" s="17" t="inlineStr">
        <is>
          <t>GUILD_NOTICE_MIN_LIMIT</t>
        </is>
      </c>
      <c r="B8" s="15" t="inlineStr">
        <is>
          <t>int</t>
        </is>
      </c>
      <c r="C8" s="15" t="n">
        <v>1</v>
      </c>
      <c r="D8" s="15" t="inlineStr">
        <is>
          <t>帮派宗旨最短长度限制</t>
        </is>
      </c>
    </row>
    <row r="9">
      <c r="A9" s="17" t="inlineStr">
        <is>
          <t>GUILD_EXPEL_REASON_LIMIT</t>
        </is>
      </c>
      <c r="B9" s="15" t="inlineStr">
        <is>
          <t>int</t>
        </is>
      </c>
      <c r="C9" s="15" t="n">
        <v>20</v>
      </c>
      <c r="D9" s="15" t="inlineStr">
        <is>
          <t>帮派踢人理由长度限制</t>
        </is>
      </c>
    </row>
    <row r="10">
      <c r="A10" s="17" t="inlineStr">
        <is>
          <t>GUILD_APPLY_NOTE_LIMIT</t>
        </is>
      </c>
      <c r="B10" s="15" t="inlineStr">
        <is>
          <t>int</t>
        </is>
      </c>
      <c r="C10" s="15" t="n">
        <v>20</v>
      </c>
      <c r="D10" s="15" t="inlineStr">
        <is>
          <t>帮派申请附言长度限制</t>
        </is>
      </c>
    </row>
    <row r="11">
      <c r="A11" s="17" t="inlineStr">
        <is>
          <t>GUILD_WELCOME_MESSAGE_LIMIT</t>
        </is>
      </c>
      <c r="B11" s="15" t="inlineStr">
        <is>
          <t>int</t>
        </is>
      </c>
      <c r="C11" s="15" t="n">
        <v>20</v>
      </c>
      <c r="D11" s="15" t="inlineStr">
        <is>
          <t>帮派迎新欢迎语长度限制</t>
        </is>
      </c>
    </row>
    <row r="12">
      <c r="A12" s="17" t="inlineStr">
        <is>
          <t>GUILD_MESSAGE_LIMIT</t>
        </is>
      </c>
      <c r="B12" s="15" t="inlineStr">
        <is>
          <t>int</t>
        </is>
      </c>
      <c r="C12" s="15" t="n">
        <v>50</v>
      </c>
      <c r="D12" s="15" t="inlineStr">
        <is>
          <t>帮派消息长度限制</t>
        </is>
      </c>
    </row>
    <row r="13">
      <c r="A13" s="17" t="inlineStr">
        <is>
          <t>GUILD_COUNT_LIMIT</t>
        </is>
      </c>
      <c r="B13" s="15" t="inlineStr">
        <is>
          <t>int</t>
        </is>
      </c>
      <c r="C13" s="15" t="n">
        <v>600</v>
      </c>
      <c r="D13" s="15" t="inlineStr">
        <is>
          <t>帮派数量上限</t>
        </is>
      </c>
    </row>
    <row r="14">
      <c r="A14" s="17" t="inlineStr">
        <is>
          <t>GUILD_FIRST_RANK_DAY</t>
        </is>
      </c>
      <c r="B14" s="15" t="inlineStr">
        <is>
          <t>int</t>
        </is>
      </c>
      <c r="C14" s="15" t="n">
        <v>14</v>
      </c>
      <c r="D14" s="15" t="inlineStr">
        <is>
          <t>帮派第一次排名的时间，过了这个时间帮派的id和展示逻辑会不一样</t>
        </is>
      </c>
    </row>
    <row r="15">
      <c r="A15" s="17" t="inlineStr">
        <is>
          <t>GUILD_ID_HASH_MOD</t>
        </is>
      </c>
      <c r="B15" s="15" t="inlineStr">
        <is>
          <t>int</t>
        </is>
      </c>
      <c r="C15" s="15" t="n">
        <v>9000</v>
      </c>
      <c r="D15" s="15" t="inlineStr">
        <is>
          <t>14天前的帮派hash范围数量</t>
        </is>
      </c>
    </row>
    <row r="16">
      <c r="A16" s="17" t="inlineStr">
        <is>
          <t>GUILD_ID_HASH_OFFSET</t>
        </is>
      </c>
      <c r="B16" s="15" t="inlineStr">
        <is>
          <t>int</t>
        </is>
      </c>
      <c r="C16" s="15" t="n">
        <v>1000</v>
      </c>
      <c r="D16" s="15" t="inlineStr">
        <is>
          <t>14天前的帮派hash范围起点</t>
        </is>
      </c>
    </row>
    <row r="17">
      <c r="A17" s="17" t="inlineStr">
        <is>
          <t>GUILD_RANKING_NEW_TIME</t>
        </is>
      </c>
      <c r="B17" s="15" t="inlineStr">
        <is>
          <t>int</t>
        </is>
      </c>
      <c r="C17" s="15" t="n">
        <v>1800</v>
      </c>
      <c r="D17" s="15" t="inlineStr">
        <is>
          <t>排名的新帮派时间</t>
        </is>
      </c>
    </row>
    <row r="18">
      <c r="A18" s="17" t="inlineStr">
        <is>
          <t>GUILD_RANKING_NEW_PROB</t>
        </is>
      </c>
      <c r="B18" s="15" t="inlineStr">
        <is>
          <t>float</t>
        </is>
      </c>
      <c r="C18" s="15" t="n">
        <v>0.1</v>
      </c>
      <c r="D18" s="15" t="inlineStr">
        <is>
          <t>排名的新帮派进前十的概率配置</t>
        </is>
      </c>
    </row>
    <row r="19">
      <c r="A19" s="17" t="inlineStr">
        <is>
          <t>GUILD_RANKING_NEW_COUNT</t>
        </is>
      </c>
      <c r="B19" s="15" t="inlineStr">
        <is>
          <t>int</t>
        </is>
      </c>
      <c r="C19" s="15" t="n">
        <v>2</v>
      </c>
      <c r="D19" s="15" t="inlineStr">
        <is>
          <t>排名的新帮派进前十的名额</t>
        </is>
      </c>
    </row>
    <row r="20">
      <c r="A20" s="17" t="inlineStr">
        <is>
          <t>GUILD_RANKING_MEMBER_SHORTAGE</t>
        </is>
      </c>
      <c r="B20" s="15" t="inlineStr">
        <is>
          <t>int</t>
        </is>
      </c>
      <c r="C20" s="15" t="n">
        <v>50</v>
      </c>
      <c r="D20" s="15" t="inlineStr">
        <is>
          <t>排名的少人帮派</t>
        </is>
      </c>
    </row>
    <row r="21">
      <c r="A21" s="17" t="inlineStr">
        <is>
          <t>GUILD_RANKING_MEMBER_SHORTAGE_PROB</t>
        </is>
      </c>
      <c r="B21" s="15" t="inlineStr">
        <is>
          <t>float</t>
        </is>
      </c>
      <c r="C21" s="15" t="n">
        <v>0.1</v>
      </c>
      <c r="D21" s="15" t="inlineStr">
        <is>
          <t>排名的少人帮派进前十的概率</t>
        </is>
      </c>
    </row>
    <row r="22">
      <c r="A22" s="17" t="inlineStr">
        <is>
          <t>GUILD_RANKING_MEMBER_SHORTAGE_COUNT</t>
        </is>
      </c>
      <c r="B22" s="15" t="inlineStr">
        <is>
          <t>int</t>
        </is>
      </c>
      <c r="C22" s="15" t="n">
        <v>2</v>
      </c>
      <c r="D22" s="15" t="inlineStr">
        <is>
          <t>排名的少人帮派进前十的名额</t>
        </is>
      </c>
    </row>
    <row r="23">
      <c r="A23" s="17" t="inlineStr">
        <is>
          <t>GUILD_RANKING_FIGHT_RANKING</t>
        </is>
      </c>
      <c r="B23" s="15" t="inlineStr">
        <is>
          <t>int</t>
        </is>
      </c>
      <c r="C23" s="15" t="n">
        <v>10</v>
      </c>
      <c r="D23" s="15" t="inlineStr">
        <is>
          <t>排名的帮战排行</t>
        </is>
      </c>
    </row>
    <row r="24">
      <c r="A24" s="17" t="inlineStr">
        <is>
          <t>GUILD_RANKING_FIGHT_RANKING_PROB</t>
        </is>
      </c>
      <c r="B24" s="15" t="inlineStr">
        <is>
          <t>float</t>
        </is>
      </c>
      <c r="C24" s="15" t="n">
        <v>0.5</v>
      </c>
      <c r="D24" s="15" t="inlineStr">
        <is>
          <t>排名的帮战排行进前十的概率</t>
        </is>
      </c>
    </row>
    <row r="25">
      <c r="A25" s="17" t="inlineStr">
        <is>
          <t>GUILD_RANKING_FIGHT_RANKING_COUNT</t>
        </is>
      </c>
      <c r="B25" s="15" t="inlineStr">
        <is>
          <t>int</t>
        </is>
      </c>
      <c r="C25" s="15" t="n">
        <v>3</v>
      </c>
      <c r="D25" s="15" t="inlineStr">
        <is>
          <t>排名的帮战排行进前十的名额</t>
        </is>
      </c>
    </row>
    <row r="26">
      <c r="A26" s="17" t="inlineStr">
        <is>
          <t>GUILD_LIST_PAGE_SIZE</t>
        </is>
      </c>
      <c r="B26" s="15" t="inlineStr">
        <is>
          <t>int</t>
        </is>
      </c>
      <c r="C26" s="15" t="n">
        <v>10</v>
      </c>
      <c r="D26" s="15" t="inlineStr">
        <is>
          <t>帮派列表单页数量</t>
        </is>
      </c>
    </row>
    <row r="27">
      <c r="A27" s="17" t="inlineStr">
        <is>
          <t>GUILD_APPLY_VALIDITY</t>
        </is>
      </c>
      <c r="B27" s="15" t="inlineStr">
        <is>
          <t>int</t>
        </is>
      </c>
      <c r="C27" s="15" t="n">
        <v>86400</v>
      </c>
      <c r="D27" s="15" t="inlineStr">
        <is>
          <t>帮派申请有效期(秒)</t>
        </is>
      </c>
      <c r="E27" s="15">
        <f>1 * 86400</f>
        <v/>
      </c>
    </row>
    <row r="28">
      <c r="A28" s="17" t="inlineStr">
        <is>
          <t>GUILD_SORT_REFRESH_TIME</t>
        </is>
      </c>
      <c r="B28" s="15" t="inlineStr">
        <is>
          <t>int</t>
        </is>
      </c>
      <c r="C28" s="15" t="n">
        <v>60</v>
      </c>
      <c r="D28" s="15" t="inlineStr">
        <is>
          <t>14天前 帮派列表多久刷新一次</t>
        </is>
      </c>
    </row>
    <row r="29">
      <c r="A29" s="17" t="inlineStr">
        <is>
          <t>GUILD_RANDOM_APPLY_COUNT</t>
        </is>
      </c>
      <c r="B29" s="15" t="inlineStr">
        <is>
          <t>int</t>
        </is>
      </c>
      <c r="C29" s="15" t="n">
        <v>20</v>
      </c>
      <c r="D29" s="15" t="inlineStr">
        <is>
          <t>帮派一键申请的数量</t>
        </is>
      </c>
    </row>
    <row r="30">
      <c r="A30" s="17" t="inlineStr">
        <is>
          <t>GUILD_RANDOM_APPLY_INTERVAL</t>
        </is>
      </c>
      <c r="B30" s="15" t="inlineStr">
        <is>
          <t>int</t>
        </is>
      </c>
      <c r="C30" s="15" t="n">
        <v>300</v>
      </c>
      <c r="D30" s="15" t="inlineStr">
        <is>
          <t>帮派一键申请的间隔时间(秒)</t>
        </is>
      </c>
      <c r="E30" s="15">
        <f>5*60</f>
        <v/>
      </c>
    </row>
    <row r="31">
      <c r="A31" s="17" t="inlineStr">
        <is>
          <t>GUILD_INIT_ROLE_MEMBER_LEVEL</t>
        </is>
      </c>
      <c r="B31" s="15" t="inlineStr">
        <is>
          <t>int</t>
        </is>
      </c>
      <c r="C31" s="15" t="n">
        <v>40</v>
      </c>
      <c r="D31" s="15" t="inlineStr">
        <is>
          <t>入帮默认为帮众所需的等级</t>
        </is>
      </c>
    </row>
    <row r="32">
      <c r="A32" s="17" t="inlineStr">
        <is>
          <t>GUILD_TRAINEE_REGULARIZED_LEVEL</t>
        </is>
      </c>
      <c r="B32" s="15" t="inlineStr">
        <is>
          <t>int</t>
        </is>
      </c>
      <c r="C32" s="15" t="n">
        <v>50</v>
      </c>
      <c r="D32" s="15" t="inlineStr">
        <is>
          <t>学徒自动转正所需的等级</t>
        </is>
      </c>
    </row>
    <row r="33">
      <c r="A33" s="17" t="inlineStr">
        <is>
          <t>GUILD_TRAINEE_REGULARIZED_CONTRIBUTION</t>
        </is>
      </c>
      <c r="B33" s="15" t="inlineStr">
        <is>
          <t>int</t>
        </is>
      </c>
      <c r="C33" s="15" t="n">
        <v>150</v>
      </c>
      <c r="D33" s="15" t="inlineStr">
        <is>
          <t>学徒自动转正所需的贡献</t>
        </is>
      </c>
    </row>
    <row r="34">
      <c r="A34" s="17" t="inlineStr">
        <is>
          <t>GUILD_TRAINEE_REGULARIZED_TIME</t>
        </is>
      </c>
      <c r="B34" s="15" t="inlineStr">
        <is>
          <t>int</t>
        </is>
      </c>
      <c r="C34" s="15" t="n">
        <v>172800</v>
      </c>
      <c r="D34" s="15" t="inlineStr">
        <is>
          <t>学徒自动转正所需的时间(秒)</t>
        </is>
      </c>
      <c r="E34" s="15">
        <f>2*86400</f>
        <v/>
      </c>
    </row>
    <row r="35">
      <c r="A35" s="17" t="inlineStr">
        <is>
          <t>GUILD_IMPEACH_TIMES_LIMIT</t>
        </is>
      </c>
      <c r="B35" s="15" t="inlineStr">
        <is>
          <t>int</t>
        </is>
      </c>
      <c r="C35" s="15" t="n">
        <v>1</v>
      </c>
      <c r="D35" s="15" t="inlineStr">
        <is>
          <t>每天发起弹劾的次数上线</t>
        </is>
      </c>
    </row>
    <row r="36">
      <c r="A36" s="17" t="inlineStr">
        <is>
          <t>GUILD_IMPEACH_LEVEL</t>
        </is>
      </c>
      <c r="B36" s="15" t="inlineStr">
        <is>
          <t>int</t>
        </is>
      </c>
      <c r="C36" s="15" t="n">
        <v>50</v>
      </c>
      <c r="D36" s="15" t="inlineStr">
        <is>
          <t>发起弹劾所需等级</t>
        </is>
      </c>
    </row>
    <row r="37">
      <c r="A37" s="17" t="inlineStr">
        <is>
          <t>GUILD_IMPEACH_NEED_TIME</t>
        </is>
      </c>
      <c r="B37" s="15" t="inlineStr">
        <is>
          <t>int</t>
        </is>
      </c>
      <c r="C37" s="15" t="n">
        <v>604800</v>
      </c>
      <c r="D37" s="15" t="inlineStr">
        <is>
          <t>需要加入帮派多少时间才能发起弹劾(秒)</t>
        </is>
      </c>
      <c r="E37" s="15">
        <f>7*86400</f>
        <v/>
      </c>
    </row>
    <row r="38">
      <c r="A38" s="17" t="inlineStr">
        <is>
          <t>GUILD_IMPEACH_VOTE_DURATION</t>
        </is>
      </c>
      <c r="B38" s="15" t="inlineStr">
        <is>
          <t>int</t>
        </is>
      </c>
      <c r="C38" s="15" t="n">
        <v>86400</v>
      </c>
      <c r="D38" s="15" t="inlineStr">
        <is>
          <t>弹劾投票持续时间(秒)</t>
        </is>
      </c>
      <c r="E38" s="15">
        <f>1*86400</f>
        <v/>
      </c>
    </row>
    <row r="39">
      <c r="A39" s="17" t="inlineStr">
        <is>
          <t>GUILD_IMPEACH_NEED_LOGIN</t>
        </is>
      </c>
      <c r="B39" s="15" t="inlineStr">
        <is>
          <t>int</t>
        </is>
      </c>
      <c r="C39" s="15" t="n">
        <v>604800</v>
      </c>
      <c r="D39" s="15" t="inlineStr">
        <is>
          <t>弹劾所需的最近登录(秒)</t>
        </is>
      </c>
      <c r="E39" s="15">
        <f>7*86400</f>
        <v/>
      </c>
    </row>
    <row r="40">
      <c r="A40" s="17" t="inlineStr">
        <is>
          <t>GUILD_IMPEACH_ACTIVE_RATE</t>
        </is>
      </c>
      <c r="B40" s="15" t="inlineStr">
        <is>
          <t>float</t>
        </is>
      </c>
      <c r="C40" s="15" t="n">
        <v>0.5</v>
      </c>
      <c r="D40" s="15" t="inlineStr">
        <is>
          <t>弹劾所需的活跃玩家比例</t>
        </is>
      </c>
    </row>
    <row r="41">
      <c r="A41" s="17" t="inlineStr">
        <is>
          <t>GUILD_IMPEACH_MEMBER_RATE</t>
        </is>
      </c>
      <c r="B41" s="15" t="inlineStr">
        <is>
          <t>float</t>
        </is>
      </c>
      <c r="C41" s="15" t="n">
        <v>0.3</v>
      </c>
      <c r="D41" s="15" t="inlineStr">
        <is>
          <t>弹劾所需的成员比例</t>
        </is>
      </c>
    </row>
    <row r="42">
      <c r="A42" s="17" t="inlineStr">
        <is>
          <t>GUILD_CREATE_COST_TYPE</t>
        </is>
      </c>
      <c r="B42" s="15" t="inlineStr">
        <is>
          <t>int</t>
        </is>
      </c>
      <c r="C42" s="15" t="n">
        <v>24001</v>
      </c>
      <c r="D42" s="15" t="inlineStr">
        <is>
          <t>创建帮派所需的货币类型</t>
        </is>
      </c>
      <c r="E42" s="15" t="inlineStr">
        <is>
          <t>ECurrencyType.k_gold</t>
        </is>
      </c>
    </row>
    <row r="43">
      <c r="A43" s="17" t="inlineStr">
        <is>
          <t>GUILD_CREATE_COST_NUM</t>
        </is>
      </c>
      <c r="B43" s="15" t="inlineStr">
        <is>
          <t>int</t>
        </is>
      </c>
      <c r="C43" s="15" t="n">
        <v>10000</v>
      </c>
      <c r="D43" s="15" t="inlineStr">
        <is>
          <t>创建帮派所需的货币数量</t>
        </is>
      </c>
    </row>
    <row r="44">
      <c r="A44" s="17" t="inlineStr">
        <is>
          <t>GUILD_BUILDING_UPGRADE_COOLDOWN</t>
        </is>
      </c>
      <c r="B44" s="15" t="inlineStr">
        <is>
          <t>int</t>
        </is>
      </c>
      <c r="C44" s="15" t="n">
        <v>86400</v>
      </c>
      <c r="D44" s="15" t="inlineStr">
        <is>
          <t>帮派建筑升级所需CD(秒)</t>
        </is>
      </c>
      <c r="E44" s="15">
        <f>1*86400</f>
        <v/>
      </c>
    </row>
    <row r="45">
      <c r="A45" s="17" t="inlineStr">
        <is>
          <t>GUILD_BONUS_COST_TYPE</t>
        </is>
      </c>
      <c r="B45" s="15" t="inlineStr">
        <is>
          <t>int</t>
        </is>
      </c>
      <c r="C45" s="15" t="n">
        <v>24002</v>
      </c>
      <c r="D45" s="15" t="inlineStr">
        <is>
          <t>帮派分红奖励的货币类型</t>
        </is>
      </c>
      <c r="E45" s="15" t="inlineStr">
        <is>
          <t>ECurrencyType.k_silver</t>
        </is>
      </c>
    </row>
    <row r="46">
      <c r="A46" s="17" t="inlineStr">
        <is>
          <t>GUILD_WELCOME_COST_TYPE</t>
        </is>
      </c>
      <c r="B46" s="15" t="inlineStr">
        <is>
          <t>int</t>
        </is>
      </c>
      <c r="C46" s="15" t="n">
        <v>24002</v>
      </c>
      <c r="D46" s="15" t="inlineStr">
        <is>
          <t>帮派迎新的货币类型</t>
        </is>
      </c>
      <c r="E46" s="15" t="inlineStr">
        <is>
          <t>ECurrencyType.k_silver</t>
        </is>
      </c>
    </row>
    <row r="47">
      <c r="A47" s="17" t="inlineStr">
        <is>
          <t xml:space="preserve">GUILD_WELCOME_COST_LIMIT </t>
        </is>
      </c>
      <c r="B47" s="15" t="inlineStr">
        <is>
          <t>int</t>
        </is>
      </c>
      <c r="C47" s="15" t="n">
        <v>10000</v>
      </c>
      <c r="D47" s="15" t="inlineStr">
        <is>
          <t>帮派迎新货币上限</t>
        </is>
      </c>
    </row>
    <row r="48">
      <c r="A48" s="17" t="inlineStr">
        <is>
          <t>GUILD_WELCOME_COOLING</t>
        </is>
      </c>
      <c r="B48" s="15" t="inlineStr">
        <is>
          <t>int</t>
        </is>
      </c>
      <c r="C48" s="15" t="n">
        <v>1209600</v>
      </c>
      <c r="D48" s="15" t="inlineStr">
        <is>
          <t>打赏冷却时间(秒)</t>
        </is>
      </c>
      <c r="E48" s="15">
        <f>14*86400</f>
        <v/>
      </c>
    </row>
    <row r="49">
      <c r="A49" s="17" t="inlineStr">
        <is>
          <t>GUILD_FREE_MESSAGE_COUNT</t>
        </is>
      </c>
      <c r="B49" s="15" t="inlineStr">
        <is>
          <t>int</t>
        </is>
      </c>
      <c r="C49" s="15" t="n">
        <v>3</v>
      </c>
      <c r="D49" s="15" t="inlineStr">
        <is>
          <t>每日免费消息次数</t>
        </is>
      </c>
    </row>
    <row r="50">
      <c r="A50" s="17" t="inlineStr">
        <is>
          <t>GUILD_MESSAGE_COST_TYPE</t>
        </is>
      </c>
      <c r="B50" s="15" t="inlineStr">
        <is>
          <t>int</t>
        </is>
      </c>
      <c r="C50" s="15" t="n">
        <v>24002</v>
      </c>
      <c r="D50" s="15" t="inlineStr">
        <is>
          <t>帮派消息消耗的货币类型</t>
        </is>
      </c>
      <c r="E50" s="15" t="inlineStr">
        <is>
          <t>ECurrencyType.k_silver</t>
        </is>
      </c>
    </row>
    <row r="51">
      <c r="A51" s="17" t="inlineStr">
        <is>
          <t>GUILD_MESSAGE_COST_NUM</t>
        </is>
      </c>
      <c r="B51" s="15" t="inlineStr">
        <is>
          <t>int</t>
        </is>
      </c>
      <c r="C51" s="15" t="n">
        <v>30000</v>
      </c>
      <c r="D51" s="15" t="inlineStr">
        <is>
          <t>帮派消息消耗的货币数量</t>
        </is>
      </c>
    </row>
    <row r="52">
      <c r="A52" s="17" t="inlineStr">
        <is>
          <t>GUILD_EVENT_MAX_COUNT</t>
        </is>
      </c>
      <c r="B52" s="15" t="inlineStr">
        <is>
          <t>int</t>
        </is>
      </c>
      <c r="C52" s="15" t="n">
        <v>20</v>
      </c>
      <c r="D52" s="15" t="inlineStr">
        <is>
          <t>帮派事件最大长度</t>
        </is>
      </c>
    </row>
    <row r="53">
      <c r="A53" s="17" t="inlineStr">
        <is>
          <t>GUILD_INSOLVENCY_PROTECT</t>
        </is>
      </c>
      <c r="B53" s="15" t="inlineStr">
        <is>
          <t>int</t>
        </is>
      </c>
      <c r="C53" s="15" t="n">
        <v>2</v>
      </c>
      <c r="D53" s="15" t="inlineStr">
        <is>
          <t>破产保护天数</t>
        </is>
      </c>
    </row>
    <row r="54">
      <c r="A54" s="17" t="inlineStr">
        <is>
          <t>GUILD_FUNDS_LESS_WARNING</t>
        </is>
      </c>
      <c r="B54" s="15" t="inlineStr">
        <is>
          <t>int</t>
        </is>
      </c>
      <c r="C54" s="15" t="n">
        <v>2</v>
      </c>
      <c r="D54" s="15" t="inlineStr">
        <is>
          <t>帮派资金小于多少天触发维护费用提醒</t>
        </is>
      </c>
    </row>
    <row r="55">
      <c r="A55" s="17" t="inlineStr">
        <is>
          <t>GUILD_FREE_UPDATE_NOTICE_COUNT</t>
        </is>
      </c>
      <c r="B55" s="15" t="inlineStr">
        <is>
          <t>int</t>
        </is>
      </c>
      <c r="C55" s="15" t="n">
        <v>3</v>
      </c>
      <c r="D55" s="15" t="inlineStr">
        <is>
          <t>每日免费更新帮派宗旨次数</t>
        </is>
      </c>
    </row>
    <row r="56">
      <c r="A56" s="17" t="inlineStr">
        <is>
          <t>GUILD_UPDATE_NOTICE_COST_TYPE</t>
        </is>
      </c>
      <c r="B56" s="15" t="inlineStr">
        <is>
          <t>int</t>
        </is>
      </c>
      <c r="C56" s="15" t="n">
        <v>24002</v>
      </c>
      <c r="D56" s="15" t="inlineStr">
        <is>
          <t>更新帮派宗旨消耗的货币类型</t>
        </is>
      </c>
      <c r="E56" s="15" t="inlineStr">
        <is>
          <t>ECurrencyType.k_silver</t>
        </is>
      </c>
    </row>
    <row r="57">
      <c r="A57" s="17" t="inlineStr">
        <is>
          <t>GUILD_UPDATE_NOTICE_COST_NUM</t>
        </is>
      </c>
      <c r="B57" s="15" t="inlineStr">
        <is>
          <t>int</t>
        </is>
      </c>
      <c r="C57" s="15" t="n">
        <v>30000</v>
      </c>
      <c r="D57" s="15" t="inlineStr">
        <is>
          <t>更新帮派宗旨消耗的货币数量</t>
        </is>
      </c>
    </row>
    <row r="58">
      <c r="A58" s="17" t="inlineStr">
        <is>
          <t>GUILD_FUZZY_SEARCH_PROCESS_LIMIT</t>
        </is>
      </c>
      <c r="B58" s="15" t="inlineStr">
        <is>
          <t>int</t>
        </is>
      </c>
      <c r="C58" s="15" t="n">
        <v>20</v>
      </c>
      <c r="D58" s="15" t="inlineStr">
        <is>
          <t>一帧逻辑最多处理的模糊搜索数量</t>
        </is>
      </c>
    </row>
    <row r="59">
      <c r="A59" s="17" t="inlineStr">
        <is>
          <t>GUILD_FUZZY_SEARCH_RESULT_MAX_COUNT</t>
        </is>
      </c>
      <c r="B59" s="15" t="inlineStr">
        <is>
          <t>int</t>
        </is>
      </c>
      <c r="C59" s="15" t="n">
        <v>20</v>
      </c>
      <c r="D59" s="15" t="inlineStr">
        <is>
          <t>模糊搜索返回的最大数量</t>
        </is>
      </c>
    </row>
    <row r="60">
      <c r="A60" s="17" t="inlineStr">
        <is>
          <t>GUILD_SPACE_ID</t>
        </is>
      </c>
      <c r="B60" s="15" t="inlineStr">
        <is>
          <t>int</t>
        </is>
      </c>
      <c r="C60" s="15" t="n">
        <v>10011</v>
      </c>
      <c r="D60" s="15" t="inlineStr">
        <is>
          <t>帮派场景ID</t>
        </is>
      </c>
    </row>
    <row r="61">
      <c r="A61" s="17" t="inlineStr">
        <is>
          <t>GUILD_WEEKLY_QUEST_FINISHED_LIMIT</t>
        </is>
      </c>
      <c r="B61" s="15" t="inlineStr">
        <is>
          <t>int</t>
        </is>
      </c>
      <c r="C61" s="15" t="n">
        <v>7</v>
      </c>
      <c r="D61" s="15" t="inlineStr">
        <is>
          <t>每周帮派任务完成上限</t>
        </is>
      </c>
    </row>
    <row r="62">
      <c r="A62" s="17" t="inlineStr">
        <is>
          <t>GUILD_MAIL_INSOLVENCY_DISBAND</t>
        </is>
      </c>
      <c r="B62" s="15" t="inlineStr">
        <is>
          <t>int</t>
        </is>
      </c>
      <c r="C62" s="15" t="n">
        <v>30001</v>
      </c>
      <c r="D62" s="15" t="inlineStr">
        <is>
          <t>帮派邮件模板ID:帮派缺少资金解散帮主</t>
        </is>
      </c>
      <c r="E62" s="15" t="inlineStr">
        <is>
          <t>你的帮派缺乏帮派资金维护，帮派将不得不解散。T.T</t>
        </is>
      </c>
    </row>
    <row r="63">
      <c r="A63" s="17" t="inlineStr">
        <is>
          <t>GUILD_MAIL_INSOLVENCY</t>
        </is>
      </c>
      <c r="B63" s="15" t="inlineStr">
        <is>
          <t>int</t>
        </is>
      </c>
      <c r="C63" s="15" t="n">
        <v>30002</v>
      </c>
      <c r="D63" s="15" t="inlineStr">
        <is>
          <t>帮派邮件模板ID:帮派缺少资金警告</t>
        </is>
      </c>
      <c r="E63" s="15" t="inlineStr">
        <is>
          <t>你的帮派缺乏帮派资金维护，再持续{}小时不够帮派维护资金，帮派将不得不解散。T.T</t>
        </is>
      </c>
    </row>
    <row r="64">
      <c r="A64" s="17" t="inlineStr">
        <is>
          <t>GUILD_MAIL_DISBAND_MEMBER_NOT_ENOUGH</t>
        </is>
      </c>
      <c r="B64" s="15" t="inlineStr">
        <is>
          <t>int</t>
        </is>
      </c>
      <c r="C64" s="15" t="n">
        <v>30003</v>
      </c>
      <c r="D64" s="15" t="inlineStr">
        <is>
          <t>帮派邮件模板ID:帮派人数不足解散</t>
        </is>
      </c>
      <c r="E64" s="15" t="inlineStr">
        <is>
          <t>你的帮派由于人数不足被解散。</t>
        </is>
      </c>
    </row>
    <row r="65">
      <c r="A65" s="17" t="inlineStr">
        <is>
          <t>GUILD_MAIL_DISBAND_FUNDS_NOT_ENOUGH</t>
        </is>
      </c>
      <c r="B65" s="15" t="inlineStr">
        <is>
          <t>int</t>
        </is>
      </c>
      <c r="C65" s="15" t="n">
        <v>30004</v>
      </c>
      <c r="D65" s="15" t="inlineStr">
        <is>
          <t>帮派邮件模板ID:帮派缺少资金解散成员</t>
        </is>
      </c>
      <c r="E65" s="15" t="inlineStr">
        <is>
          <t>你的帮派由于帮派资金长期不足，已经消逝在风中。</t>
        </is>
      </c>
    </row>
    <row r="66">
      <c r="A66" s="17" t="inlineStr">
        <is>
          <t>GUILD_MAIL_DEGRADE_WING_ROOM</t>
        </is>
      </c>
      <c r="B66" s="15" t="inlineStr">
        <is>
          <t>int</t>
        </is>
      </c>
      <c r="C66" s="15" t="n">
        <v>30005</v>
      </c>
      <c r="D66" s="15" t="inlineStr">
        <is>
          <t>帮派邮件模板ID:厢房降级</t>
        </is>
      </c>
      <c r="E66" s="15" t="inlineStr">
        <is>
          <t>帮派维护消耗{}帮派资金。当前内政：厢房降级。降级到{}级。</t>
        </is>
      </c>
    </row>
    <row r="67">
      <c r="A67" s="17" t="inlineStr">
        <is>
          <t>GUILD_MAIL_DEGRADE_VAULT</t>
        </is>
      </c>
      <c r="B67" s="15" t="inlineStr">
        <is>
          <t>int</t>
        </is>
      </c>
      <c r="C67" s="15" t="n">
        <v>30006</v>
      </c>
      <c r="D67" s="15" t="inlineStr">
        <is>
          <t>帮派邮件模板ID:金库降级</t>
        </is>
      </c>
      <c r="E67" s="15" t="inlineStr">
        <is>
          <t>帮派维护消耗{}帮派资金。当前内政：金库降级。降级到{}级。</t>
        </is>
      </c>
    </row>
    <row r="68">
      <c r="A68" s="17" t="inlineStr">
        <is>
          <t>GUILD_MAIL_DEGRADE_STORE</t>
        </is>
      </c>
      <c r="B68" s="15" t="inlineStr">
        <is>
          <t>int</t>
        </is>
      </c>
      <c r="C68" s="15" t="n">
        <v>30007</v>
      </c>
      <c r="D68" s="15" t="inlineStr">
        <is>
          <t>帮派邮件模板ID:商店降级</t>
        </is>
      </c>
      <c r="E68" s="15" t="inlineStr">
        <is>
          <t>帮派维护消耗{}帮派资金。当前内政：商店降级。降级到{}级。</t>
        </is>
      </c>
    </row>
    <row r="69">
      <c r="A69" s="17" t="inlineStr">
        <is>
          <t>GUILD_MAIL_DEGRADE_GUILD_HALL</t>
        </is>
      </c>
      <c r="B69" s="15" t="inlineStr">
        <is>
          <t>int</t>
        </is>
      </c>
      <c r="C69" s="15" t="n">
        <v>30008</v>
      </c>
      <c r="D69" s="15" t="inlineStr">
        <is>
          <t>帮派邮件模板ID:帮派降级</t>
        </is>
      </c>
      <c r="E69" s="15" t="inlineStr">
        <is>
          <t>帮派维护消耗{}帮派资金。当前内政：帮派降级。降级到{}级。</t>
        </is>
      </c>
    </row>
    <row r="70">
      <c r="A70" s="17" t="inlineStr">
        <is>
          <t>GUILD_MAIL_DEGRADE_LIBRARY</t>
        </is>
      </c>
      <c r="B70" s="15" t="inlineStr">
        <is>
          <t>int</t>
        </is>
      </c>
      <c r="C70" s="15" t="n">
        <v>30012</v>
      </c>
      <c r="D70" s="15" t="inlineStr">
        <is>
          <t>帮派邮件模板ID:书院降级</t>
        </is>
      </c>
      <c r="E70" s="15" t="inlineStr">
        <is>
          <t>帮派维护消耗{}帮派资金。当前内政：书院降级。降级到{}级。</t>
        </is>
      </c>
    </row>
    <row r="71">
      <c r="A71" s="17" t="inlineStr">
        <is>
          <t>GUILD_MAIL_DEGRADE_PET_HOUSE</t>
        </is>
      </c>
      <c r="B71" s="15" t="inlineStr">
        <is>
          <t>int</t>
        </is>
      </c>
      <c r="C71" s="15" t="n">
        <v>30013</v>
      </c>
      <c r="D71" s="15" t="inlineStr">
        <is>
          <t>帮派邮件模板ID:兽栏降级</t>
        </is>
      </c>
      <c r="E71" s="15" t="inlineStr">
        <is>
          <t>帮派维护消耗{}帮派资金。当前内政：兽栏降级。降级到{}级。</t>
        </is>
      </c>
    </row>
    <row r="72">
      <c r="A72" s="17" t="inlineStr">
        <is>
          <t>GUILD_MAIL_BONUS</t>
        </is>
      </c>
      <c r="B72" s="15" t="inlineStr">
        <is>
          <t>int</t>
        </is>
      </c>
      <c r="C72" s="15" t="n">
        <v>30009</v>
      </c>
      <c r="D72" s="15" t="inlineStr">
        <is>
          <t>帮派邮件模板ID:帮派分红提醒</t>
        </is>
      </c>
      <c r="E72" s="15" t="inlineStr">
        <is>
          <t>你可以前往帮派白虎堂总管领取你的帮派分红。</t>
        </is>
      </c>
    </row>
    <row r="73">
      <c r="A73" s="17" t="inlineStr">
        <is>
          <t>GUILD_MAIL_APPOINT_MASTER</t>
        </is>
      </c>
      <c r="B73" s="15" t="inlineStr">
        <is>
          <t>int</t>
        </is>
      </c>
      <c r="C73" s="15" t="n">
        <v>30010</v>
      </c>
      <c r="D73" s="15" t="inlineStr">
        <is>
          <t>帮派邮件模板ID:帮主任命</t>
        </is>
      </c>
      <c r="E73" s="15" t="inlineStr">
        <is>
          <t>你被任命为本帮的新帮主。</t>
        </is>
      </c>
    </row>
    <row r="74">
      <c r="A74" s="17" t="inlineStr">
        <is>
          <t>GUILD_MAIL_FUNDS_FULL</t>
        </is>
      </c>
      <c r="B74" s="15" t="inlineStr">
        <is>
          <t>int</t>
        </is>
      </c>
      <c r="C74" s="15" t="n">
        <v>30011</v>
      </c>
      <c r="D74" s="15" t="inlineStr">
        <is>
          <t>帮派邮件模板ID:帮派资金达到上限</t>
        </is>
      </c>
      <c r="E74" s="15" t="inlineStr">
        <is>
          <t>帮派资金已达上限，快去升级帮派吧。</t>
        </is>
      </c>
    </row>
    <row r="75">
      <c r="A75" s="17" t="inlineStr">
        <is>
          <t>GUILD_MAIL_WELCOME_CURRENCY</t>
        </is>
      </c>
      <c r="B75" s="15" t="inlineStr">
        <is>
          <t>int</t>
        </is>
      </c>
      <c r="C75" s="15" t="n">
        <v>30014</v>
      </c>
      <c r="D75" s="15" t="inlineStr">
        <is>
          <t>帮派邮件模板ID:帮派迎新礼金</t>
        </is>
      </c>
      <c r="E75" s="15" t="inlineStr">
        <is>
          <t>帮派迎新礼金离线邮件发送</t>
        </is>
      </c>
    </row>
    <row r="76">
      <c r="A76" s="17" t="inlineStr">
        <is>
          <t>GUILD_SIEGE_DECLARE</t>
        </is>
      </c>
      <c r="B76" s="15" t="inlineStr">
        <is>
          <t>int</t>
        </is>
      </c>
      <c r="C76" s="15" t="n">
        <v>0</v>
      </c>
      <c r="D76" s="15" t="inlineStr">
        <is>
          <t>灵宠进军到位后延迟多久可以宣战</t>
        </is>
      </c>
    </row>
    <row r="77">
      <c r="A77" s="17" t="inlineStr">
        <is>
          <t>GUILD_SIEGE_DELAY</t>
        </is>
      </c>
      <c r="B77" s="15" t="inlineStr">
        <is>
          <t>int</t>
        </is>
      </c>
      <c r="C77" s="15" t="n">
        <v>1800</v>
      </c>
      <c r="D77" s="15" t="inlineStr">
        <is>
          <t>宣战后多久开启攻城战</t>
        </is>
      </c>
      <c r="E77" s="15">
        <f>30*60</f>
        <v/>
      </c>
    </row>
    <row r="78">
      <c r="A78" s="17" t="inlineStr">
        <is>
          <t>GUILD_SIEGE_LEVEL_REQUIREMENT</t>
        </is>
      </c>
      <c r="B78" s="15" t="inlineStr">
        <is>
          <t>int</t>
        </is>
      </c>
      <c r="C78" s="15" t="n">
        <v>27</v>
      </c>
      <c r="D78" s="15" t="inlineStr">
        <is>
          <t>参与攻城的等级要求</t>
        </is>
      </c>
    </row>
    <row r="79">
      <c r="A79" s="17" t="inlineStr">
        <is>
          <t>GUILD_SIEGE_TENURE_REQUIREMENT</t>
        </is>
      </c>
      <c r="B79" s="15" t="inlineStr">
        <is>
          <t>int</t>
        </is>
      </c>
      <c r="C79" s="15" t="n">
        <v>86400</v>
      </c>
      <c r="D79" s="15" t="inlineStr">
        <is>
          <t>参与攻城的入帮时间要求</t>
        </is>
      </c>
      <c r="E79" s="15">
        <f>24*60*60</f>
        <v/>
      </c>
    </row>
    <row r="80">
      <c r="A80" s="17" t="inlineStr">
        <is>
          <t>GUILD_SIEGE_CART_PREFAB</t>
        </is>
      </c>
      <c r="B80" s="15" t="inlineStr">
        <is>
          <t>int</t>
        </is>
      </c>
      <c r="C80" s="15" t="n">
        <v>9000</v>
      </c>
      <c r="D80" s="15" t="inlineStr">
        <is>
          <t>帮派攻城车(灵兽)prefab_id</t>
        </is>
      </c>
    </row>
    <row r="81">
      <c r="A81" s="17" t="inlineStr">
        <is>
          <t>GUILD_SIEGE_PROTECT_CART_COUNT</t>
        </is>
      </c>
      <c r="B81" s="15" t="inlineStr">
        <is>
          <t>int</t>
        </is>
      </c>
      <c r="C81" s="15" t="n">
        <v>5</v>
      </c>
      <c r="D81" s="15" t="inlineStr">
        <is>
          <t>每日护车次数</t>
        </is>
      </c>
    </row>
    <row r="82">
      <c r="A82" s="17" t="inlineStr">
        <is>
          <t>GUILD_SIEGE_ATTACK_CART_COUNT</t>
        </is>
      </c>
      <c r="B82" s="15" t="inlineStr">
        <is>
          <t>int</t>
        </is>
      </c>
      <c r="C82" s="15" t="n">
        <v>5</v>
      </c>
      <c r="D82" s="15" t="inlineStr">
        <is>
          <t>每日劫车次数</t>
        </is>
      </c>
    </row>
    <row r="83">
      <c r="A83" s="17" t="inlineStr">
        <is>
          <t>GUILD_SIEGE_SPEED_PARAM_A</t>
        </is>
      </c>
      <c r="B83" s="15" t="inlineStr">
        <is>
          <t>float</t>
        </is>
      </c>
      <c r="C83" s="15" t="n">
        <v>30</v>
      </c>
      <c r="D83" s="15" t="inlineStr">
        <is>
          <t>速度公式参数A</t>
        </is>
      </c>
    </row>
    <row r="84">
      <c r="A84" s="17" t="inlineStr">
        <is>
          <t>GUILD_SIEGE_SPEED_PARAM_B</t>
        </is>
      </c>
      <c r="B84" s="15" t="inlineStr">
        <is>
          <t>float</t>
        </is>
      </c>
      <c r="C84" s="15" t="n">
        <v>1</v>
      </c>
      <c r="D84" s="15" t="inlineStr">
        <is>
          <t>速度公式参数B</t>
        </is>
      </c>
    </row>
    <row r="85">
      <c r="A85" s="17" t="inlineStr">
        <is>
          <t>GUILD_SIEGE_SPEED_PARAM_C</t>
        </is>
      </c>
      <c r="B85" s="15" t="inlineStr">
        <is>
          <t>float</t>
        </is>
      </c>
      <c r="C85" s="15" t="n">
        <v>1.18</v>
      </c>
      <c r="D85" s="15" t="inlineStr">
        <is>
          <t>速度公式参数C</t>
        </is>
      </c>
    </row>
    <row r="86">
      <c r="A86" s="17" t="inlineStr">
        <is>
          <t>GUILD_SIEGE_SPEED_PARAM_D</t>
        </is>
      </c>
      <c r="B86" s="15" t="inlineStr">
        <is>
          <t>float</t>
        </is>
      </c>
      <c r="C86" s="15" t="n">
        <v>600</v>
      </c>
      <c r="D86" s="15" t="inlineStr">
        <is>
          <t>速度公式参数D</t>
        </is>
      </c>
    </row>
    <row r="87">
      <c r="A87" s="17" t="inlineStr">
        <is>
          <t>GUILD_SIEGE_COMBAT_ID</t>
        </is>
      </c>
      <c r="B87" s="15" t="inlineStr">
        <is>
          <t>list</t>
        </is>
      </c>
      <c r="C87" s="15" t="n">
        <v>9000</v>
      </c>
      <c r="D87" s="15" t="inlineStr">
        <is>
          <t>推车灵兽PVE战斗id</t>
        </is>
      </c>
    </row>
    <row r="88">
      <c r="A88" s="17" t="inlineStr">
        <is>
          <t>GUILD_SIEGE_CART_START_COST</t>
        </is>
      </c>
      <c r="B88" s="15" t="inlineStr">
        <is>
          <t>int</t>
        </is>
      </c>
      <c r="C88" s="15" t="n">
        <v>0</v>
      </c>
      <c r="D88" s="15" t="inlineStr">
        <is>
          <t>推车消耗的帮派资金数量</t>
        </is>
      </c>
    </row>
    <row r="89">
      <c r="A89" s="17" t="inlineStr">
        <is>
          <t>GUILD_SPELL_DEVELOP_CHANGE_COST</t>
        </is>
      </c>
      <c r="B89" s="15" t="inlineStr">
        <is>
          <t>int</t>
        </is>
      </c>
      <c r="C89" s="15" t="n">
        <v>2000000</v>
      </c>
      <c r="D89" s="15" t="inlineStr">
        <is>
          <t>帮派开始研究技能或者切换的开销</t>
        </is>
      </c>
    </row>
    <row r="90">
      <c r="A90" s="17" t="inlineStr">
        <is>
          <t>GUILD_SPELL_DEVELOP_COST</t>
        </is>
      </c>
      <c r="B90" s="15" t="inlineStr">
        <is>
          <t>int</t>
        </is>
      </c>
      <c r="C90" s="15" t="n">
        <v>1000000</v>
      </c>
      <c r="D90" s="15" t="inlineStr">
        <is>
          <t>研究技能每整点的消耗</t>
        </is>
      </c>
    </row>
    <row r="91">
      <c r="A91" s="17" t="inlineStr">
        <is>
          <t>GUILD_SPELL_DEVELOP_VALUE</t>
        </is>
      </c>
      <c r="B91" s="15" t="inlineStr">
        <is>
          <t>int</t>
        </is>
      </c>
      <c r="C91" s="15" t="n">
        <v>100</v>
      </c>
      <c r="D91" s="15" t="inlineStr">
        <is>
          <t>研究技能每次增加的值</t>
        </is>
      </c>
    </row>
    <row r="92">
      <c r="A92" s="17" t="inlineStr">
        <is>
          <t>GUILD_SIEGE_CART_WEEKDAYS</t>
        </is>
      </c>
      <c r="B92" s="15" t="inlineStr">
        <is>
          <t>list</t>
        </is>
      </c>
      <c r="C92" s="15" t="inlineStr">
        <is>
          <t>1, 2, 3, 4, 5</t>
        </is>
      </c>
      <c r="D92" s="15" t="inlineStr">
        <is>
          <t>推车活动日期 (周一到周五)</t>
        </is>
      </c>
    </row>
    <row r="93">
      <c r="A93" s="17" t="inlineStr">
        <is>
          <t>GUILD_SIEGE_PROTECT_CART_BEGIN_HOUR</t>
        </is>
      </c>
      <c r="B93" s="15" t="inlineStr">
        <is>
          <t>int</t>
        </is>
      </c>
      <c r="C93" s="15" t="n">
        <v>12</v>
      </c>
      <c r="D93" s="15" t="inlineStr">
        <is>
          <t>护车活动开始时间 (小时)</t>
        </is>
      </c>
    </row>
    <row r="94">
      <c r="A94" s="17" t="inlineStr">
        <is>
          <t>GUILD_SIEGE_PROTECT_CART_BEGIN_MINUTE</t>
        </is>
      </c>
      <c r="B94" s="15" t="inlineStr">
        <is>
          <t>int</t>
        </is>
      </c>
      <c r="C94" s="15" t="n">
        <v>0</v>
      </c>
      <c r="D94" s="15" t="inlineStr">
        <is>
          <t>护车活动开始时间 (分钟)</t>
        </is>
      </c>
    </row>
    <row r="95">
      <c r="A95" s="17" t="inlineStr">
        <is>
          <t>GUILD_SIEGE_PROTECT_CART_END_HOUR</t>
        </is>
      </c>
      <c r="B95" s="15" t="inlineStr">
        <is>
          <t>int</t>
        </is>
      </c>
      <c r="C95" s="15" t="n">
        <v>22</v>
      </c>
      <c r="D95" s="15" t="inlineStr">
        <is>
          <t>护车活动结束时间 (小时)</t>
        </is>
      </c>
    </row>
    <row r="96">
      <c r="A96" s="17" t="inlineStr">
        <is>
          <t>GUILD_SIEGE_PROTECT_CART_END_MINUTE</t>
        </is>
      </c>
      <c r="B96" s="15" t="inlineStr">
        <is>
          <t>int</t>
        </is>
      </c>
      <c r="C96" s="15" t="n">
        <v>0</v>
      </c>
      <c r="D96" s="15" t="inlineStr">
        <is>
          <t>护车活动结束时间 (分钟)</t>
        </is>
      </c>
    </row>
    <row r="97">
      <c r="A97" s="17" t="inlineStr">
        <is>
          <t>GUILD_SIEGE_ATTACK_CART_BEGIN_HOUR</t>
        </is>
      </c>
      <c r="B97" s="15" t="inlineStr">
        <is>
          <t>int</t>
        </is>
      </c>
      <c r="C97" s="15" t="n">
        <v>12</v>
      </c>
      <c r="D97" s="15" t="inlineStr">
        <is>
          <t>劫车活动开始时间 (小时)</t>
        </is>
      </c>
    </row>
    <row r="98">
      <c r="A98" s="17" t="inlineStr">
        <is>
          <t>GUILD_SIEGE_ATTACK_CART_BEGIN_MINUTE</t>
        </is>
      </c>
      <c r="B98" s="15" t="inlineStr">
        <is>
          <t>int</t>
        </is>
      </c>
      <c r="C98" s="15" t="n">
        <v>15</v>
      </c>
      <c r="D98" s="15" t="inlineStr">
        <is>
          <t>劫车活动开始时间 (分钟)</t>
        </is>
      </c>
    </row>
    <row r="99">
      <c r="A99" s="17" t="inlineStr">
        <is>
          <t>GUILD_SIEGE_ATTACK_CART_END_HOUR</t>
        </is>
      </c>
      <c r="B99" s="15" t="inlineStr">
        <is>
          <t>int</t>
        </is>
      </c>
      <c r="C99" s="15" t="n">
        <v>22</v>
      </c>
      <c r="D99" s="15" t="inlineStr">
        <is>
          <t>劫车活动结束时间 (小时)</t>
        </is>
      </c>
    </row>
    <row r="100">
      <c r="A100" s="17" t="inlineStr">
        <is>
          <t>GUILD_SIEGE_ATTACK_CART_END_MINUTE</t>
        </is>
      </c>
      <c r="B100" s="15" t="inlineStr">
        <is>
          <t>int</t>
        </is>
      </c>
      <c r="C100" s="15" t="n">
        <v>0</v>
      </c>
      <c r="D100" s="15" t="inlineStr">
        <is>
          <t>劫车活动结束时间 (分钟)</t>
        </is>
      </c>
    </row>
    <row r="101">
      <c r="A101" s="17" t="inlineStr">
        <is>
          <t>GUILD_SIEGE_CART_MAX_HP</t>
        </is>
      </c>
      <c r="B101" s="15" t="inlineStr">
        <is>
          <t>int</t>
        </is>
      </c>
      <c r="C101" s="15" t="n">
        <v>50</v>
      </c>
      <c r="D101" s="15" t="inlineStr">
        <is>
          <t>推车最大血量</t>
        </is>
      </c>
    </row>
    <row r="102">
      <c r="A102" s="17" t="inlineStr">
        <is>
          <t>GUILD_SIEGE_CART_DAMAGE</t>
        </is>
      </c>
      <c r="B102" s="15" t="inlineStr">
        <is>
          <t>int</t>
        </is>
      </c>
      <c r="C102" s="15" t="n">
        <v>1</v>
      </c>
      <c r="D102" s="15" t="inlineStr">
        <is>
          <t>劫车胜利时对车辆造成的伤害</t>
        </is>
      </c>
    </row>
    <row r="103">
      <c r="A103" s="17" t="inlineStr">
        <is>
          <t>GUILD_SIEGE_HERO_REVIVE_HP</t>
        </is>
      </c>
      <c r="B103" s="15" t="inlineStr">
        <is>
          <t>int</t>
        </is>
      </c>
      <c r="C103" s="15" t="n">
        <v>1</v>
      </c>
      <c r="D103" s="15" t="inlineStr">
        <is>
          <t>英雄死亡但胜利时复活的血量</t>
        </is>
      </c>
    </row>
    <row r="104">
      <c r="A104" s="17" t="inlineStr">
        <is>
          <t>GUILD_SIEGE_CART_PVP_COMBAT_ID</t>
        </is>
      </c>
      <c r="B104" s="15" t="inlineStr">
        <is>
          <t>int</t>
        </is>
      </c>
      <c r="C104" s="15" t="n">
        <v>9100</v>
      </c>
      <c r="D104" s="15" t="inlineStr">
        <is>
          <t>推车 PVP 战斗 combat_id</t>
        </is>
      </c>
    </row>
    <row r="105">
      <c r="A105" s="17" t="inlineStr">
        <is>
          <t>GUILD_SIEGE_CART_RALLY_DAILY_LIMIT</t>
        </is>
      </c>
      <c r="B105" s="15" t="inlineStr">
        <is>
          <t>int</t>
        </is>
      </c>
      <c r="C105" s="15" t="n">
        <v>1</v>
      </c>
      <c r="D105" s="15" t="inlineStr">
        <is>
          <t>每日集结次数上限</t>
        </is>
      </c>
    </row>
    <row r="106">
      <c r="A106" s="17" t="inlineStr">
        <is>
          <t>GUILD_SIEGE_CART_RALLY_DURATION</t>
        </is>
      </c>
      <c r="B106" s="15" t="inlineStr">
        <is>
          <t>int</t>
        </is>
      </c>
      <c r="C106" s="15" t="n">
        <v>1800</v>
      </c>
      <c r="D106" s="15" t="inlineStr">
        <is>
          <t>集结令有效期（秒），30分钟</t>
        </is>
      </c>
    </row>
    <row r="107">
      <c r="A107" s="17" t="inlineStr">
        <is>
          <t>GUILD_MAIL_SIEGE_CART_COMBAT_REWARD</t>
        </is>
      </c>
      <c r="B107" s="15" t="inlineStr">
        <is>
          <t>int</t>
        </is>
      </c>
      <c r="C107" s="15" t="n">
        <v>30015</v>
      </c>
      <c r="D107" s="15" t="inlineStr">
        <is>
          <t>攻城车战斗奖励邮件模板 ID</t>
        </is>
      </c>
    </row>
    <row r="108">
      <c r="A108" s="17" t="inlineStr">
        <is>
          <t>GUILD_SIEGE_CART_PVE_PENDING_DURATION</t>
        </is>
      </c>
      <c r="B108" s="15" t="inlineStr">
        <is>
          <t>int</t>
        </is>
      </c>
      <c r="C108" s="15" t="n">
        <v>30</v>
      </c>
      <c r="D108" s="15" t="inlineStr">
        <is>
          <t>劫车PVE匹配等待时间(秒)</t>
        </is>
      </c>
    </row>
    <row r="109">
      <c r="A109" s="17" t="inlineStr">
        <is>
          <t>GUILD_SIEGE_CART_PVE_MAX_COUNT</t>
        </is>
      </c>
      <c r="B109" s="15" t="inlineStr">
        <is>
          <t>int</t>
        </is>
      </c>
      <c r="C109" s="15" t="n">
        <v>10</v>
      </c>
      <c r="D109" s="15" t="inlineStr">
        <is>
          <t>单次劫车PVE战斗次数上限</t>
        </is>
      </c>
    </row>
    <row r="110">
      <c r="A110" s="17" t="inlineStr">
        <is>
          <t>GUILD_CITY_BASE_RELOCATE_COOLDOWN</t>
        </is>
      </c>
      <c r="B110" s="15" t="inlineStr">
        <is>
          <t>int</t>
        </is>
      </c>
      <c r="C110" s="15" t="n">
        <v>86400</v>
      </c>
      <c r="D110" s="15" t="inlineStr">
        <is>
          <t>帮派基地搬迁冷却时间(秒)</t>
        </is>
      </c>
    </row>
    <row r="111">
      <c r="A111" s="17" t="inlineStr">
        <is>
          <t>GUILD_RENAME_COST_TYPE</t>
        </is>
      </c>
      <c r="B111" s="15" t="inlineStr">
        <is>
          <t>int</t>
        </is>
      </c>
      <c r="C111" s="15" t="n">
        <v>24002</v>
      </c>
      <c r="D111" s="15" t="inlineStr">
        <is>
          <t>帮派改名消耗的货币类型</t>
        </is>
      </c>
    </row>
    <row r="112">
      <c r="A112" s="17" t="inlineStr">
        <is>
          <t>GUILD_RENAME_COST_NUM</t>
        </is>
      </c>
      <c r="B112" s="15" t="inlineStr">
        <is>
          <t>int</t>
        </is>
      </c>
      <c r="C112" s="15" t="n">
        <v>1680</v>
      </c>
      <c r="D112" s="15" t="inlineStr">
        <is>
          <t>帮派改名消耗的货币数量</t>
        </is>
      </c>
    </row>
    <row r="113">
      <c r="A113" s="17" t="inlineStr">
        <is>
          <t>GUILD_SIEGE_CART_MARCH_RECORD_LIMIT</t>
        </is>
      </c>
      <c r="B113" s="15" t="inlineStr">
        <is>
          <t>int</t>
        </is>
      </c>
      <c r="C113" s="15" t="n">
        <v>30</v>
      </c>
      <c r="D113" s="15" t="inlineStr">
        <is>
          <t>历史进军记录上限</t>
        </is>
      </c>
    </row>
    <row r="114">
      <c r="A114" s="17" t="inlineStr">
        <is>
          <t>GUILD_MAINTENANCE_COST_FACTOR</t>
        </is>
      </c>
      <c r="B114" s="15" t="inlineStr">
        <is>
          <t>int</t>
        </is>
      </c>
      <c r="C114" s="15" t="n">
        <v>120000</v>
      </c>
      <c r="D114" s="15" t="inlineStr">
        <is>
          <t>帮派维护费用系数（每级建筑等级消耗的资金）</t>
        </is>
      </c>
    </row>
    <row r="115">
      <c r="A115" s="17" t="inlineStr">
        <is>
          <t>GUILD_MAINTENANCE_HALL_WEIGHT</t>
        </is>
      </c>
      <c r="B115" s="15" t="inlineStr">
        <is>
          <t>int</t>
        </is>
      </c>
      <c r="C115" s="15" t="n">
        <v>2</v>
      </c>
      <c r="D115" s="15" t="inlineStr">
        <is>
          <t>帮派大厅在维护费公式中的等级权重</t>
        </is>
      </c>
    </row>
    <row r="116">
      <c r="A116" s="17" t="inlineStr">
        <is>
          <t>GUILD_LOW_MAINTENANCE_COST_FACTOR</t>
        </is>
      </c>
      <c r="B116" s="15" t="inlineStr">
        <is>
          <t>int</t>
        </is>
      </c>
      <c r="C116" s="15" t="n">
        <v>100000</v>
      </c>
      <c r="D116" s="15" t="inlineStr">
        <is>
          <t>帮派低维护费用系数（每级帮派大厅消耗的资金）</t>
        </is>
      </c>
    </row>
  </sheetData>
  <conditionalFormatting sqref="A1:B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4"/>
  <cols>
    <col width="12.5" bestFit="1" customWidth="1" min="1" max="1"/>
    <col width="13.08203125" bestFit="1" customWidth="1" min="3" max="3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职位展示名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show_name:str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</row>
    <row r="4" ht="16.5" customHeight="1">
      <c r="A4" s="9" t="n"/>
      <c r="B4" s="9" t="n"/>
      <c r="C4" s="9" t="n"/>
    </row>
    <row r="5" ht="16.5" customHeight="1">
      <c r="A5" s="8" t="n">
        <v>1</v>
      </c>
      <c r="B5" s="8" t="inlineStr">
        <is>
          <t>帮主</t>
        </is>
      </c>
      <c r="C5" s="8" t="inlineStr">
        <is>
          <t>帮主</t>
        </is>
      </c>
    </row>
    <row r="6" ht="16.5" customHeight="1">
      <c r="A6" s="8" t="n">
        <v>2</v>
      </c>
      <c r="B6" s="8" t="inlineStr">
        <is>
          <t>副帮主</t>
        </is>
      </c>
      <c r="C6" s="8" t="inlineStr">
        <is>
          <t>副帮主</t>
        </is>
      </c>
    </row>
    <row r="7" ht="16.5" customHeight="1">
      <c r="A7" s="8" t="n">
        <v>3</v>
      </c>
      <c r="B7" s="8" t="inlineStr">
        <is>
          <t>左护法</t>
        </is>
      </c>
      <c r="C7" s="8" t="inlineStr">
        <is>
          <t>左护法</t>
        </is>
      </c>
    </row>
    <row r="8" ht="16.5" customHeight="1">
      <c r="A8" s="8" t="n">
        <v>4</v>
      </c>
      <c r="B8" s="8" t="inlineStr">
        <is>
          <t>右护法</t>
        </is>
      </c>
      <c r="C8" s="8" t="inlineStr">
        <is>
          <t>右护法</t>
        </is>
      </c>
    </row>
    <row r="9" ht="16.5" customHeight="1">
      <c r="A9" s="8" t="n">
        <v>5</v>
      </c>
      <c r="B9" s="8" t="inlineStr">
        <is>
          <t>青龙堂主</t>
        </is>
      </c>
      <c r="C9" s="8" t="inlineStr">
        <is>
          <t>青龙堂主</t>
        </is>
      </c>
    </row>
    <row r="10" ht="16.5" customHeight="1">
      <c r="A10" s="8" t="n">
        <v>6</v>
      </c>
      <c r="B10" s="8" t="inlineStr">
        <is>
          <t>白虎堂主</t>
        </is>
      </c>
      <c r="C10" s="8" t="inlineStr">
        <is>
          <t>白虎堂主</t>
        </is>
      </c>
    </row>
    <row r="11" ht="16.5" customHeight="1">
      <c r="A11" s="8" t="n">
        <v>7</v>
      </c>
      <c r="B11" s="8" t="inlineStr">
        <is>
          <t>朱雀堂主</t>
        </is>
      </c>
      <c r="C11" s="8" t="inlineStr">
        <is>
          <t>朱雀堂主</t>
        </is>
      </c>
    </row>
    <row r="12" ht="16.5" customHeight="1">
      <c r="A12" s="8" t="n">
        <v>8</v>
      </c>
      <c r="B12" s="8" t="inlineStr">
        <is>
          <t>玄武堂主</t>
        </is>
      </c>
      <c r="C12" s="8" t="inlineStr">
        <is>
          <t>玄武堂主</t>
        </is>
      </c>
    </row>
    <row r="13" ht="16.5" customHeight="1">
      <c r="A13" s="8" t="n">
        <v>9</v>
      </c>
      <c r="B13" s="8" t="inlineStr">
        <is>
          <t>青龙堂众</t>
        </is>
      </c>
      <c r="C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  <c r="C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  <c r="C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  <c r="C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  <c r="C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  <c r="C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  <c r="C19" s="8" t="inlineStr">
        <is>
          <t>学徒</t>
        </is>
      </c>
    </row>
    <row r="20">
      <c r="A20" t="n">
        <v>36</v>
      </c>
      <c r="B20" t="inlineStr">
        <is>
          <t>db2c1add#36</t>
        </is>
      </c>
      <c r="C20" t="inlineStr">
        <is>
          <t>帮主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D21" sqref="D21"/>
    </sheetView>
  </sheetViews>
  <sheetFormatPr baseColWidth="8" defaultRowHeight="14"/>
  <cols>
    <col width="12.5" bestFit="1" customWidth="1" min="1" max="1"/>
    <col width="8" bestFit="1" customWidth="1" min="2" max="2"/>
    <col width="26.83203125" bestFit="1" customWidth="1" min="3" max="3"/>
    <col width="14.33203125" bestFit="1" customWidth="1" min="4" max="4"/>
    <col width="22.25" bestFit="1" customWidth="1" min="5" max="5"/>
    <col width="19.33203125" bestFit="1" customWidth="1" min="6" max="6"/>
    <col width="21" bestFit="1" customWidth="1" min="7" max="7"/>
    <col width="21.33203125" bestFit="1" customWidth="1" min="8" max="8"/>
    <col width="17.33203125" customWidth="1" min="9" max="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消息前缀</t>
        </is>
      </c>
      <c r="D1" s="9" t="inlineStr">
        <is>
          <t>全体成员</t>
        </is>
      </c>
      <c r="E1" s="9" t="inlineStr">
        <is>
          <t>青龙堂众</t>
        </is>
      </c>
      <c r="F1" s="9" t="inlineStr">
        <is>
          <t>白虎堂众</t>
        </is>
      </c>
      <c r="G1" s="9" t="inlineStr">
        <is>
          <t>朱雀堂众</t>
        </is>
      </c>
      <c r="H1" s="9" t="inlineStr">
        <is>
          <t>玄武堂众</t>
        </is>
      </c>
      <c r="I1" s="9" t="inlineStr">
        <is>
          <t>全体管理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prefix:str</t>
        </is>
      </c>
      <c r="D2" s="9" t="inlineStr">
        <is>
          <t>all_member:bool</t>
        </is>
      </c>
      <c r="E2" s="9" t="inlineStr">
        <is>
          <t>qinglong_tangzhong:bool</t>
        </is>
      </c>
      <c r="F2" s="9" t="inlineStr">
        <is>
          <t>baihu_tangzhong:bool</t>
        </is>
      </c>
      <c r="G2" s="9" t="inlineStr">
        <is>
          <t>zhuque_tangzhong:bool</t>
        </is>
      </c>
      <c r="H2" s="9" t="inlineStr">
        <is>
          <t>xuanwu_tangzhong:bool</t>
        </is>
      </c>
      <c r="I2" s="9" t="inlineStr">
        <is>
          <t>all_manager:bool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  <c r="D3" s="9" t="n"/>
      <c r="E3" s="9" t="n"/>
      <c r="F3" s="9" t="n"/>
      <c r="G3" s="9" t="n"/>
      <c r="H3" s="9" t="n"/>
      <c r="I3" s="9" t="n"/>
    </row>
    <row r="4" ht="16.5" customHeight="1">
      <c r="A4" s="9" t="n"/>
      <c r="B4" s="9" t="n"/>
      <c r="C4" s="9" t="n"/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</row>
    <row r="5" ht="16.5" customHeight="1">
      <c r="A5" t="n">
        <v>1</v>
      </c>
      <c r="B5" s="8" t="inlineStr">
        <is>
          <t>帮主</t>
        </is>
      </c>
      <c r="C5" s="8" t="inlineStr">
        <is>
          <t>来自帮主{}的帮派群发消息：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 ht="16.5" customHeight="1">
      <c r="A6" t="n">
        <v>2</v>
      </c>
      <c r="B6" s="8" t="inlineStr">
        <is>
          <t>副帮主</t>
        </is>
      </c>
      <c r="C6" s="8" t="inlineStr">
        <is>
          <t>来自副帮主{}的帮派群发消息：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ht="16.5" customHeight="1">
      <c r="A7" t="n">
        <v>3</v>
      </c>
      <c r="B7" s="8" t="inlineStr">
        <is>
          <t>左护法</t>
        </is>
      </c>
      <c r="C7" s="8" t="inlineStr">
        <is>
          <t>来自左护法{}的帮派群发消息：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 ht="16.5" customHeight="1">
      <c r="A8" t="n">
        <v>4</v>
      </c>
      <c r="B8" s="8" t="inlineStr">
        <is>
          <t>右护法</t>
        </is>
      </c>
      <c r="C8" s="8" t="inlineStr">
        <is>
          <t>来自右护法{}的帮派群发消息：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 ht="16.5" customHeight="1">
      <c r="A9" t="n">
        <v>5</v>
      </c>
      <c r="B9" s="8" t="inlineStr">
        <is>
          <t>青龙堂主</t>
        </is>
      </c>
      <c r="C9" s="8" t="inlineStr">
        <is>
          <t>来自青龙堂主{}的帮派群发消息：</t>
        </is>
      </c>
      <c r="E9" t="b">
        <v>1</v>
      </c>
    </row>
    <row r="10" ht="16.5" customHeight="1">
      <c r="A10" t="n">
        <v>6</v>
      </c>
      <c r="B10" s="8" t="inlineStr">
        <is>
          <t>白虎堂主</t>
        </is>
      </c>
      <c r="C10" s="8" t="inlineStr">
        <is>
          <t>来自白虎堂主{}的帮派群发消息：</t>
        </is>
      </c>
      <c r="F10" t="b">
        <v>1</v>
      </c>
    </row>
    <row r="11" ht="16.5" customHeight="1">
      <c r="A11" t="n">
        <v>7</v>
      </c>
      <c r="B11" s="8" t="inlineStr">
        <is>
          <t>朱雀堂主</t>
        </is>
      </c>
      <c r="C11" s="8" t="inlineStr">
        <is>
          <t>来自朱雀堂主{}的帮派群发消息：</t>
        </is>
      </c>
      <c r="G11" t="b">
        <v>1</v>
      </c>
    </row>
    <row r="12" ht="16.5" customHeight="1">
      <c r="A12" t="n">
        <v>8</v>
      </c>
      <c r="B12" s="8" t="inlineStr">
        <is>
          <t>玄武堂主</t>
        </is>
      </c>
      <c r="C12" s="8" t="inlineStr">
        <is>
          <t>来自玄武堂主{}的帮派群发消息：</t>
        </is>
      </c>
      <c r="H12" t="b">
        <v>1</v>
      </c>
    </row>
    <row r="13">
      <c r="A13" t="n">
        <v>29</v>
      </c>
      <c r="B13" t="inlineStr">
        <is>
          <t>db2c1add#29</t>
        </is>
      </c>
      <c r="C13" t="inlineStr">
        <is>
          <t>来自帮主{}的帮派群发消息：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topLeftCell="J1" workbookViewId="0">
      <selection activeCell="S9" sqref="S9"/>
    </sheetView>
  </sheetViews>
  <sheetFormatPr baseColWidth="8" defaultRowHeight="14"/>
  <cols>
    <col width="14.08203125" bestFit="1" customWidth="1" min="1" max="1"/>
    <col width="12.5" customWidth="1" min="3" max="3"/>
    <col width="17.08203125" bestFit="1" customWidth="1" min="4" max="5"/>
    <col width="16.75" bestFit="1" customWidth="1" min="6" max="6"/>
    <col width="17.08203125" bestFit="1" customWidth="1" min="7" max="7"/>
    <col width="18.75" bestFit="1" customWidth="1" min="8" max="8"/>
    <col width="16.75" bestFit="1" customWidth="1" min="9" max="9"/>
    <col width="9.83203125" bestFit="1" customWidth="1" min="10" max="10"/>
    <col width="12.08203125" bestFit="1" customWidth="1" min="11" max="11"/>
    <col width="16" bestFit="1" customWidth="1" min="12" max="12"/>
    <col width="17.5" bestFit="1" customWidth="1" min="13" max="13"/>
    <col width="13.08203125" bestFit="1" customWidth="1" min="14" max="14"/>
    <col width="22.33203125" bestFit="1" customWidth="1" min="15" max="15"/>
    <col width="24.83203125" bestFit="1" customWidth="1" min="16" max="16"/>
    <col width="22.83203125" bestFit="1" customWidth="1" min="17" max="17"/>
    <col width="24.25" bestFit="1" customWidth="1" min="18" max="18"/>
    <col width="16.08203125" bestFit="1" customWidth="1" min="19" max="1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禁言</t>
        </is>
      </c>
      <c r="D1" s="9" t="inlineStr">
        <is>
          <t>接受新成员</t>
        </is>
      </c>
      <c r="E1" s="9" t="inlineStr">
        <is>
          <t>逐出成员</t>
        </is>
      </c>
      <c r="F1" s="9" t="inlineStr">
        <is>
          <t>写帮派公告</t>
        </is>
      </c>
      <c r="G1" s="9" t="inlineStr">
        <is>
          <t>帮派消息</t>
        </is>
      </c>
      <c r="H1" s="9" t="inlineStr">
        <is>
          <t>转学徒为帮众</t>
        </is>
      </c>
      <c r="I1" s="9" t="inlineStr">
        <is>
          <t>升级帮派</t>
        </is>
      </c>
      <c r="J1" s="9" t="inlineStr">
        <is>
          <t>辞去管理</t>
        </is>
      </c>
      <c r="K1" s="9" t="inlineStr">
        <is>
          <t>逐出次数上限</t>
        </is>
      </c>
      <c r="L1" s="9" t="inlineStr">
        <is>
          <t>技能研究</t>
        </is>
      </c>
      <c r="M1" s="9" t="inlineStr">
        <is>
          <t>发起集结</t>
        </is>
      </c>
      <c r="N1" s="9" t="inlineStr">
        <is>
          <t>发起进军</t>
        </is>
      </c>
      <c r="O1" s="9" t="inlineStr">
        <is>
          <t>是否允许修复城池建筑</t>
        </is>
      </c>
      <c r="P1" s="9" t="inlineStr">
        <is>
          <t>是否允许升级城池建筑</t>
        </is>
      </c>
      <c r="Q1" s="9" t="inlineStr">
        <is>
          <t>是否允许搬迁帮派基地</t>
        </is>
      </c>
      <c r="R1" s="9" t="inlineStr">
        <is>
          <t>管理城池户口</t>
        </is>
      </c>
      <c r="S1" s="9" t="inlineStr">
        <is>
          <t>帮派改名</t>
        </is>
      </c>
      <c r="T1" s="8" t="n"/>
      <c r="U1" s="8" t="n"/>
    </row>
    <row r="2" ht="16.5" customHeight="1">
      <c r="A2" s="10" t="inlineStr">
        <is>
          <t>role:int</t>
        </is>
      </c>
      <c r="B2" s="10" t="n"/>
      <c r="C2" s="10" t="inlineStr">
        <is>
          <t>mute:bool</t>
        </is>
      </c>
      <c r="D2" s="10" t="inlineStr">
        <is>
          <t>approve_apply:bool</t>
        </is>
      </c>
      <c r="E2" s="10" t="inlineStr">
        <is>
          <t>expel_member:bool</t>
        </is>
      </c>
      <c r="F2" s="10" t="inlineStr">
        <is>
          <t>update_notice:bool</t>
        </is>
      </c>
      <c r="G2" s="10" t="inlineStr">
        <is>
          <t>guild_message:bool</t>
        </is>
      </c>
      <c r="H2" s="10" t="inlineStr">
        <is>
          <t>promote_trainee:bool</t>
        </is>
      </c>
      <c r="I2" s="10" t="inlineStr">
        <is>
          <t>upgrade_guild:bool</t>
        </is>
      </c>
      <c r="J2" s="10" t="inlineStr">
        <is>
          <t>resign:bool</t>
        </is>
      </c>
      <c r="K2" s="10" t="inlineStr">
        <is>
          <t>expel_limit:int</t>
        </is>
      </c>
      <c r="L2" s="10" t="inlineStr">
        <is>
          <t>spell_develop:bool</t>
        </is>
      </c>
      <c r="M2" s="10" t="inlineStr">
        <is>
          <t>rally_siege_cart:bool</t>
        </is>
      </c>
      <c r="N2" s="10" t="inlineStr">
        <is>
          <t>siege_cart:bool</t>
        </is>
      </c>
      <c r="O2" s="9" t="inlineStr">
        <is>
          <t>repair_city_building:bool</t>
        </is>
      </c>
      <c r="P2" s="9" t="inlineStr">
        <is>
          <t>upgrade_city_building:bool</t>
        </is>
      </c>
      <c r="Q2" s="9" t="inlineStr">
        <is>
          <t>relocate_guild_base:bool</t>
        </is>
      </c>
      <c r="R2" s="9" t="inlineStr">
        <is>
          <t>manage_city_residence:bool</t>
        </is>
      </c>
      <c r="S2" s="9" t="inlineStr">
        <is>
          <t>rename_guild:bool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n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  <c r="R4" s="9" t="b">
        <v>0</v>
      </c>
      <c r="S4" s="9" t="b">
        <v>0</v>
      </c>
    </row>
    <row r="5" ht="16.5" customHeight="1">
      <c r="A5" s="8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K5" t="n">
        <v>20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ht="16.5" customHeight="1">
      <c r="A6" s="8" t="n">
        <v>2</v>
      </c>
      <c r="B6" s="8" t="inlineStr">
        <is>
          <t>副帮主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10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  <row r="7" ht="16.5" customHeight="1">
      <c r="A7" s="8" t="n">
        <v>3</v>
      </c>
      <c r="B7" s="8" t="inlineStr">
        <is>
          <t>左护法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10</v>
      </c>
      <c r="M7" t="b">
        <v>1</v>
      </c>
      <c r="N7" t="b">
        <v>1</v>
      </c>
    </row>
    <row r="8" ht="16.5" customHeight="1">
      <c r="A8" s="8" t="n">
        <v>4</v>
      </c>
      <c r="B8" s="8" t="inlineStr">
        <is>
          <t>右护法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10</v>
      </c>
      <c r="M8" t="b">
        <v>1</v>
      </c>
      <c r="N8" t="b">
        <v>1</v>
      </c>
    </row>
    <row r="9" ht="16.5" customHeight="1">
      <c r="A9" s="8" t="n">
        <v>5</v>
      </c>
      <c r="B9" s="8" t="inlineStr">
        <is>
          <t>青龙堂主</t>
        </is>
      </c>
      <c r="C9" t="b">
        <v>1</v>
      </c>
      <c r="D9" t="b">
        <v>1</v>
      </c>
      <c r="E9" t="b">
        <v>1</v>
      </c>
      <c r="G9" t="b">
        <v>1</v>
      </c>
      <c r="H9" t="b">
        <v>1</v>
      </c>
      <c r="J9" t="b">
        <v>1</v>
      </c>
      <c r="K9" t="n">
        <v>5</v>
      </c>
    </row>
    <row r="10" ht="16.5" customHeight="1">
      <c r="A10" s="8" t="n">
        <v>6</v>
      </c>
      <c r="B10" s="8" t="inlineStr">
        <is>
          <t>白虎堂主</t>
        </is>
      </c>
      <c r="C10" t="b">
        <v>1</v>
      </c>
      <c r="D10" t="b">
        <v>1</v>
      </c>
      <c r="E10" t="b">
        <v>1</v>
      </c>
      <c r="G10" t="b">
        <v>1</v>
      </c>
      <c r="H10" t="b">
        <v>1</v>
      </c>
      <c r="J10" t="b">
        <v>1</v>
      </c>
      <c r="K10" t="n">
        <v>5</v>
      </c>
    </row>
    <row r="11" ht="16.5" customHeight="1">
      <c r="A11" s="8" t="n">
        <v>7</v>
      </c>
      <c r="B11" s="8" t="inlineStr">
        <is>
          <t>朱雀堂主</t>
        </is>
      </c>
      <c r="C11" t="b">
        <v>1</v>
      </c>
      <c r="D11" t="b">
        <v>1</v>
      </c>
      <c r="E11" t="b">
        <v>1</v>
      </c>
      <c r="G11" t="b">
        <v>1</v>
      </c>
      <c r="H11" t="b">
        <v>1</v>
      </c>
      <c r="J11" t="b">
        <v>1</v>
      </c>
      <c r="K11" t="n">
        <v>5</v>
      </c>
    </row>
    <row r="12" ht="16.5" customHeight="1">
      <c r="A12" s="8" t="n">
        <v>8</v>
      </c>
      <c r="B12" s="8" t="inlineStr">
        <is>
          <t>玄武堂主</t>
        </is>
      </c>
      <c r="C12" t="b">
        <v>1</v>
      </c>
      <c r="D12" t="b">
        <v>1</v>
      </c>
      <c r="E12" t="b">
        <v>1</v>
      </c>
      <c r="G12" t="b">
        <v>1</v>
      </c>
      <c r="H12" t="b">
        <v>1</v>
      </c>
      <c r="J12" t="b">
        <v>1</v>
      </c>
      <c r="K12" t="n">
        <v>5</v>
      </c>
    </row>
    <row r="13" ht="16.5" customHeight="1">
      <c r="A13" s="8" t="n">
        <v>9</v>
      </c>
      <c r="B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</row>
    <row r="20">
      <c r="A20" t="n">
        <v>36</v>
      </c>
      <c r="B20" t="inlineStr">
        <is>
          <t>db2c1add#36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K20" t="n">
        <v>20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</sheetData>
  <conditionalFormatting sqref="B1:C3 E1:E3 G1:G3 I1:I3">
    <cfRule type="duplicateValues" priority="3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zoomScaleNormal="100" workbookViewId="0">
      <selection activeCell="A2" sqref="A2"/>
    </sheetView>
  </sheetViews>
  <sheetFormatPr baseColWidth="8" defaultRowHeight="14"/>
  <cols>
    <col width="12.5" bestFit="1" customWidth="1" min="1" max="1"/>
    <col width="10.5" bestFit="1" customWidth="1" min="3" max="3"/>
    <col width="14.75" bestFit="1" customWidth="1" min="4" max="4"/>
    <col width="12.25" bestFit="1" customWidth="1" min="5" max="5"/>
    <col width="13.5" bestFit="1" customWidth="1" min="6" max="6"/>
    <col width="20" bestFit="1" customWidth="1" min="7" max="7"/>
    <col width="17.25" bestFit="1" customWidth="1" min="8" max="8"/>
    <col width="18.75" bestFit="1" customWidth="1" min="9" max="9"/>
    <col width="19.08203125" bestFit="1" customWidth="1" min="10" max="10"/>
    <col width="23.83203125" bestFit="1" customWidth="1" min="11" max="11"/>
    <col width="20.75" bestFit="1" customWidth="1" min="12" max="12"/>
    <col width="22.5" bestFit="1" customWidth="1" min="13" max="13"/>
    <col width="22.75" bestFit="1" customWidth="1" min="14" max="14"/>
    <col width="12.83203125" bestFit="1" customWidth="1" min="16" max="16"/>
    <col width="11.33203125" bestFit="1" customWidth="1" min="17" max="17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帮主</t>
        </is>
      </c>
      <c r="D1" s="9" t="inlineStr">
        <is>
          <t>副帮主</t>
        </is>
      </c>
      <c r="E1" s="9" t="inlineStr">
        <is>
          <t>左护法</t>
        </is>
      </c>
      <c r="F1" s="9" t="inlineStr">
        <is>
          <t>右护法</t>
        </is>
      </c>
      <c r="G1" s="9" t="inlineStr">
        <is>
          <t>青龙堂主</t>
        </is>
      </c>
      <c r="H1" s="9" t="inlineStr">
        <is>
          <t>白虎堂主</t>
        </is>
      </c>
      <c r="I1" s="9" t="inlineStr">
        <is>
          <t>朱雀堂主</t>
        </is>
      </c>
      <c r="J1" s="9" t="inlineStr">
        <is>
          <t>玄武堂主</t>
        </is>
      </c>
      <c r="K1" s="9" t="inlineStr">
        <is>
          <t>青龙堂众</t>
        </is>
      </c>
      <c r="L1" s="9" t="inlineStr">
        <is>
          <t>白虎堂众</t>
        </is>
      </c>
      <c r="M1" s="9" t="inlineStr">
        <is>
          <t>朱雀堂众</t>
        </is>
      </c>
      <c r="N1" s="9" t="inlineStr">
        <is>
          <t>玄武堂众</t>
        </is>
      </c>
      <c r="O1" s="9" t="inlineStr">
        <is>
          <t>精英</t>
        </is>
      </c>
      <c r="P1" s="9" t="inlineStr">
        <is>
          <t>帮众</t>
        </is>
      </c>
      <c r="Q1" s="9" t="inlineStr">
        <is>
          <t>学徒</t>
        </is>
      </c>
    </row>
    <row r="2" ht="16.5" customHeight="1">
      <c r="A2" s="10" t="inlineStr">
        <is>
          <t>role:int</t>
        </is>
      </c>
      <c r="B2" s="10" t="n"/>
      <c r="C2" s="9" t="inlineStr">
        <is>
          <t>master:bool</t>
        </is>
      </c>
      <c r="D2" s="9" t="inlineStr">
        <is>
          <t>vice_master:bool</t>
        </is>
      </c>
      <c r="E2" s="9" t="inlineStr">
        <is>
          <t>hufa_left:bool</t>
        </is>
      </c>
      <c r="F2" s="9" t="inlineStr">
        <is>
          <t>hufa_right:bool</t>
        </is>
      </c>
      <c r="G2" s="9" t="inlineStr">
        <is>
          <t>qinglong_tangzhu:bool</t>
        </is>
      </c>
      <c r="H2" s="9" t="inlineStr">
        <is>
          <t>baihu_tangzhu:bool</t>
        </is>
      </c>
      <c r="I2" s="9" t="inlineStr">
        <is>
          <t>zhuque_tangzhu:bool</t>
        </is>
      </c>
      <c r="J2" s="9" t="inlineStr">
        <is>
          <t>xuanwu_tangzhu:bool</t>
        </is>
      </c>
      <c r="K2" s="9" t="inlineStr">
        <is>
          <t>qinglong_tangzhong:bool</t>
        </is>
      </c>
      <c r="L2" s="9" t="inlineStr">
        <is>
          <t>baihu_tangzhong:bool</t>
        </is>
      </c>
      <c r="M2" s="9" t="inlineStr">
        <is>
          <t>zhuque_tangzhong:bool</t>
        </is>
      </c>
      <c r="N2" s="9" t="inlineStr">
        <is>
          <t>xuanwu_tangzhong:bool</t>
        </is>
      </c>
      <c r="O2" s="9" t="inlineStr">
        <is>
          <t>elite:bool</t>
        </is>
      </c>
      <c r="P2" s="9" t="inlineStr">
        <is>
          <t>member:bool</t>
        </is>
      </c>
      <c r="Q2" s="9" t="inlineStr">
        <is>
          <t>trainee:bool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</row>
    <row r="5" ht="16.5" customHeight="1">
      <c r="A5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ht="16.5" customHeight="1">
      <c r="A6" t="n">
        <v>2</v>
      </c>
      <c r="B6" s="8" t="inlineStr">
        <is>
          <t>副帮主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ht="16.5" customHeight="1">
      <c r="A7" t="n">
        <v>3</v>
      </c>
      <c r="B7" s="8" t="inlineStr">
        <is>
          <t>左护法</t>
        </is>
      </c>
      <c r="O7" t="b">
        <v>1</v>
      </c>
      <c r="P7" t="b">
        <v>1</v>
      </c>
    </row>
    <row r="8" ht="16.5" customHeight="1">
      <c r="A8" t="n">
        <v>4</v>
      </c>
      <c r="B8" s="8" t="inlineStr">
        <is>
          <t>右护法</t>
        </is>
      </c>
      <c r="O8" t="b">
        <v>1</v>
      </c>
      <c r="P8" t="b">
        <v>1</v>
      </c>
    </row>
    <row r="9" ht="16.5" customHeight="1">
      <c r="A9" t="n">
        <v>5</v>
      </c>
      <c r="B9" s="8" t="inlineStr">
        <is>
          <t>青龙堂主</t>
        </is>
      </c>
      <c r="K9" t="b">
        <v>1</v>
      </c>
      <c r="O9" t="b">
        <v>1</v>
      </c>
      <c r="P9" t="b">
        <v>1</v>
      </c>
    </row>
    <row r="10" ht="16.5" customHeight="1">
      <c r="A10" t="n">
        <v>6</v>
      </c>
      <c r="B10" s="8" t="inlineStr">
        <is>
          <t>白虎堂主</t>
        </is>
      </c>
      <c r="L10" t="b">
        <v>1</v>
      </c>
      <c r="O10" t="b">
        <v>1</v>
      </c>
      <c r="P10" t="b">
        <v>1</v>
      </c>
    </row>
    <row r="11" ht="16.5" customHeight="1">
      <c r="A11" t="n">
        <v>7</v>
      </c>
      <c r="B11" s="8" t="inlineStr">
        <is>
          <t>朱雀堂主</t>
        </is>
      </c>
      <c r="M11" t="b">
        <v>1</v>
      </c>
      <c r="O11" t="b">
        <v>1</v>
      </c>
      <c r="P11" t="b">
        <v>1</v>
      </c>
    </row>
    <row r="12" ht="16.5" customHeight="1">
      <c r="A12" t="n">
        <v>8</v>
      </c>
      <c r="B12" s="8" t="inlineStr">
        <is>
          <t>玄武堂主</t>
        </is>
      </c>
      <c r="N12" t="b">
        <v>1</v>
      </c>
      <c r="O12" t="b">
        <v>1</v>
      </c>
      <c r="P12" t="b">
        <v>1</v>
      </c>
    </row>
    <row r="13" ht="16.5" customHeight="1">
      <c r="A13" t="n">
        <v>9</v>
      </c>
      <c r="B13" s="8" t="inlineStr">
        <is>
          <t>青龙堂众</t>
        </is>
      </c>
    </row>
    <row r="14" ht="16.5" customHeight="1">
      <c r="A14" t="n">
        <v>10</v>
      </c>
      <c r="B14" s="8" t="inlineStr">
        <is>
          <t>白虎堂众</t>
        </is>
      </c>
    </row>
    <row r="15" ht="16.5" customHeight="1">
      <c r="A15" t="n">
        <v>11</v>
      </c>
      <c r="B15" s="8" t="inlineStr">
        <is>
          <t>朱雀堂众</t>
        </is>
      </c>
    </row>
    <row r="16" ht="16.5" customHeight="1">
      <c r="A16" t="n">
        <v>12</v>
      </c>
      <c r="B16" s="8" t="inlineStr">
        <is>
          <t>玄武堂众</t>
        </is>
      </c>
    </row>
    <row r="17" ht="16.5" customHeight="1">
      <c r="A17" t="n">
        <v>13</v>
      </c>
      <c r="B17" s="8" t="inlineStr">
        <is>
          <t>精英</t>
        </is>
      </c>
    </row>
    <row r="18" ht="16.5" customHeight="1">
      <c r="A18" t="n">
        <v>14</v>
      </c>
      <c r="B18" s="8" t="inlineStr">
        <is>
          <t>帮众</t>
        </is>
      </c>
    </row>
    <row r="19" ht="16.5" customHeight="1">
      <c r="A19" t="n">
        <v>15</v>
      </c>
      <c r="B19" s="8" t="inlineStr">
        <is>
          <t>学徒</t>
        </is>
      </c>
    </row>
    <row r="20">
      <c r="A20" t="n">
        <v>36</v>
      </c>
      <c r="B20" t="inlineStr">
        <is>
          <t>db2c1add#36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C25" sqref="C25"/>
    </sheetView>
  </sheetViews>
  <sheetFormatPr baseColWidth="8" defaultRowHeight="14"/>
  <cols>
    <col width="12.5" bestFit="1" customWidth="1" min="1" max="1"/>
    <col width="16.75" bestFit="1" customWidth="1" min="2" max="2"/>
    <col width="26.25" bestFit="1" customWidth="1" min="3" max="3"/>
    <col width="9.08203125" bestFit="1" customWidth="1" min="4" max="10"/>
  </cols>
  <sheetData>
    <row r="1" ht="29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0级别人数
(这个级别为了对齐数组从0开始)</t>
        </is>
      </c>
      <c r="D1" s="9" t="inlineStr">
        <is>
          <t>1级别人数</t>
        </is>
      </c>
      <c r="E1" s="9" t="inlineStr">
        <is>
          <t>2级别人数</t>
        </is>
      </c>
      <c r="F1" s="9" t="inlineStr">
        <is>
          <t>3级别人数</t>
        </is>
      </c>
      <c r="G1" s="9" t="inlineStr">
        <is>
          <t>4级别人数</t>
        </is>
      </c>
      <c r="H1" s="9" t="inlineStr">
        <is>
          <t>5级别人数</t>
        </is>
      </c>
      <c r="I1" s="9" t="inlineStr">
        <is>
          <t>6级别人数</t>
        </is>
      </c>
      <c r="J1" s="9" t="inlineStr">
        <is>
          <t>7级别人数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limit[0]:int</t>
        </is>
      </c>
      <c r="D2" s="10" t="inlineStr">
        <is>
          <t>limit[1]:int</t>
        </is>
      </c>
      <c r="E2" s="10" t="inlineStr">
        <is>
          <t>limit[2]:int</t>
        </is>
      </c>
      <c r="F2" s="10" t="inlineStr">
        <is>
          <t>limit[3]:int</t>
        </is>
      </c>
      <c r="G2" s="10" t="inlineStr">
        <is>
          <t>limit[4]:int</t>
        </is>
      </c>
      <c r="H2" s="10" t="inlineStr">
        <is>
          <t>limit[5]:int</t>
        </is>
      </c>
      <c r="I2" s="10" t="inlineStr">
        <is>
          <t>limit[6]:int</t>
        </is>
      </c>
      <c r="J2" s="10" t="inlineStr">
        <is>
          <t>limit[7]:int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 ht="16.5" customHeight="1">
      <c r="A4" s="9" t="n"/>
      <c r="B4" s="9" t="n"/>
      <c r="C4" s="9" t="n">
        <v>-1</v>
      </c>
      <c r="D4" s="9" t="n">
        <v>-1</v>
      </c>
      <c r="E4" s="9" t="n">
        <v>-1</v>
      </c>
      <c r="F4" s="9" t="n">
        <v>-1</v>
      </c>
      <c r="G4" s="9" t="n">
        <v>-1</v>
      </c>
      <c r="H4" s="9" t="n">
        <v>-1</v>
      </c>
      <c r="I4" s="9" t="n">
        <v>-1</v>
      </c>
      <c r="J4" s="9" t="n">
        <v>-1</v>
      </c>
    </row>
    <row r="5" ht="16.5" customHeight="1">
      <c r="A5" s="12" t="n">
        <v>1</v>
      </c>
      <c r="B5" s="12" t="inlineStr">
        <is>
          <t>帮主（只能有一个）</t>
        </is>
      </c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</row>
    <row r="6" ht="16.5" customHeight="1">
      <c r="A6" s="8" t="n">
        <v>2</v>
      </c>
      <c r="B6" s="8" t="inlineStr">
        <is>
          <t>副帮主</t>
        </is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1</v>
      </c>
    </row>
    <row r="7" ht="16.5" customHeight="1">
      <c r="A7" s="8" t="n">
        <v>3</v>
      </c>
      <c r="B7" s="8" t="inlineStr">
        <is>
          <t>左护法</t>
        </is>
      </c>
      <c r="C7" s="11" t="n">
        <v>1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</row>
    <row r="8" ht="16.5" customHeight="1">
      <c r="A8" s="8" t="n">
        <v>4</v>
      </c>
      <c r="B8" s="8" t="inlineStr">
        <is>
          <t>右护法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</row>
    <row r="9" ht="16.5" customHeight="1">
      <c r="A9" s="8" t="n">
        <v>5</v>
      </c>
      <c r="B9" s="8" t="inlineStr">
        <is>
          <t>青龙堂主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</row>
    <row r="10" ht="16.5" customHeight="1">
      <c r="A10" s="8" t="n">
        <v>6</v>
      </c>
      <c r="B10" s="8" t="inlineStr">
        <is>
          <t>白虎堂主</t>
        </is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1</v>
      </c>
    </row>
    <row r="11" ht="16.5" customHeight="1">
      <c r="A11" s="8" t="n">
        <v>7</v>
      </c>
      <c r="B11" s="8" t="inlineStr">
        <is>
          <t>朱雀堂主</t>
        </is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</row>
    <row r="12" ht="16.5" customHeight="1">
      <c r="A12" s="8" t="n">
        <v>8</v>
      </c>
      <c r="B12" s="8" t="inlineStr">
        <is>
          <t>玄武堂主</t>
        </is>
      </c>
      <c r="C12" s="11" t="n"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</row>
    <row r="13" ht="16.5" customHeight="1">
      <c r="A13" s="8" t="n">
        <v>9</v>
      </c>
      <c r="B13" s="8" t="inlineStr">
        <is>
          <t>青龙堂众</t>
        </is>
      </c>
      <c r="C13" s="11" t="n">
        <v>5</v>
      </c>
      <c r="D13" s="11" t="n">
        <v>15</v>
      </c>
      <c r="E13" s="11" t="n">
        <v>25</v>
      </c>
      <c r="F13" s="11" t="n">
        <v>35</v>
      </c>
      <c r="G13" s="11" t="n">
        <v>45</v>
      </c>
      <c r="H13" s="11" t="n">
        <v>55</v>
      </c>
      <c r="I13" s="11" t="n">
        <v>65</v>
      </c>
      <c r="J13" s="11" t="n">
        <v>75</v>
      </c>
    </row>
    <row r="14" ht="16.5" customHeight="1">
      <c r="A14" s="8" t="n">
        <v>10</v>
      </c>
      <c r="B14" s="8" t="inlineStr">
        <is>
          <t>白虎堂众</t>
        </is>
      </c>
      <c r="C14" s="11" t="n">
        <v>5</v>
      </c>
      <c r="D14" s="11" t="n">
        <v>15</v>
      </c>
      <c r="E14" s="11" t="n">
        <v>25</v>
      </c>
      <c r="F14" s="11" t="n">
        <v>35</v>
      </c>
      <c r="G14" s="11" t="n">
        <v>45</v>
      </c>
      <c r="H14" s="11" t="n">
        <v>55</v>
      </c>
      <c r="I14" s="11" t="n">
        <v>65</v>
      </c>
      <c r="J14" s="11" t="n">
        <v>75</v>
      </c>
    </row>
    <row r="15" ht="16.5" customHeight="1">
      <c r="A15" s="8" t="n">
        <v>11</v>
      </c>
      <c r="B15" s="8" t="inlineStr">
        <is>
          <t>朱雀堂众</t>
        </is>
      </c>
      <c r="C15" s="11" t="n">
        <v>5</v>
      </c>
      <c r="D15" s="11" t="n">
        <v>15</v>
      </c>
      <c r="E15" s="11" t="n">
        <v>25</v>
      </c>
      <c r="F15" s="11" t="n">
        <v>35</v>
      </c>
      <c r="G15" s="11" t="n">
        <v>45</v>
      </c>
      <c r="H15" s="11" t="n">
        <v>55</v>
      </c>
      <c r="I15" s="11" t="n">
        <v>65</v>
      </c>
      <c r="J15" s="11" t="n">
        <v>75</v>
      </c>
    </row>
    <row r="16" ht="16.5" customHeight="1">
      <c r="A16" s="8" t="n">
        <v>12</v>
      </c>
      <c r="B16" s="8" t="inlineStr">
        <is>
          <t>玄武堂众</t>
        </is>
      </c>
      <c r="C16" s="11" t="n">
        <v>5</v>
      </c>
      <c r="D16" s="11" t="n">
        <v>15</v>
      </c>
      <c r="E16" s="11" t="n">
        <v>25</v>
      </c>
      <c r="F16" s="11" t="n">
        <v>35</v>
      </c>
      <c r="G16" s="11" t="n">
        <v>45</v>
      </c>
      <c r="H16" s="11" t="n">
        <v>55</v>
      </c>
      <c r="I16" s="11" t="n">
        <v>65</v>
      </c>
      <c r="J16" s="11" t="n">
        <v>75</v>
      </c>
    </row>
    <row r="17" ht="16.5" customHeight="1">
      <c r="A17" s="8" t="n">
        <v>13</v>
      </c>
      <c r="B17" s="8" t="inlineStr">
        <is>
          <t>精英</t>
        </is>
      </c>
      <c r="C17" s="11" t="n">
        <v>-1</v>
      </c>
      <c r="D17" s="11" t="n">
        <v>-1</v>
      </c>
      <c r="E17" s="11" t="n">
        <v>-1</v>
      </c>
      <c r="F17" s="11" t="n">
        <v>-1</v>
      </c>
      <c r="G17" s="11" t="n">
        <v>-1</v>
      </c>
      <c r="H17" s="11" t="n">
        <v>-1</v>
      </c>
      <c r="I17" s="11" t="n">
        <v>-1</v>
      </c>
      <c r="J17" s="11" t="n">
        <v>-1</v>
      </c>
    </row>
    <row r="18" ht="16.5" customHeight="1">
      <c r="A18" s="8" t="n">
        <v>14</v>
      </c>
      <c r="B18" s="8" t="inlineStr">
        <is>
          <t>帮众</t>
        </is>
      </c>
      <c r="C18" s="11" t="n">
        <v>-1</v>
      </c>
      <c r="D18" s="11" t="n">
        <v>-1</v>
      </c>
      <c r="E18" s="11" t="n">
        <v>-1</v>
      </c>
      <c r="F18" s="11" t="n">
        <v>-1</v>
      </c>
      <c r="G18" s="11" t="n">
        <v>-1</v>
      </c>
      <c r="H18" s="11" t="n">
        <v>-1</v>
      </c>
      <c r="I18" s="11" t="n">
        <v>-1</v>
      </c>
      <c r="J18" s="11" t="n">
        <v>-1</v>
      </c>
    </row>
    <row r="19" ht="16.5" customHeight="1">
      <c r="A19" s="8" t="n">
        <v>15</v>
      </c>
      <c r="B19" s="8" t="inlineStr">
        <is>
          <t>学徒</t>
        </is>
      </c>
      <c r="C19" s="11" t="n">
        <v>-1</v>
      </c>
      <c r="D19" s="11" t="n">
        <v>-1</v>
      </c>
      <c r="E19" s="11" t="n">
        <v>-1</v>
      </c>
      <c r="F19" s="11" t="n">
        <v>-1</v>
      </c>
      <c r="G19" s="11" t="n">
        <v>-1</v>
      </c>
      <c r="H19" s="11" t="n">
        <v>-1</v>
      </c>
      <c r="I19" s="11" t="n">
        <v>-1</v>
      </c>
      <c r="J19" s="11" t="n">
        <v>-1</v>
      </c>
    </row>
  </sheetData>
  <conditionalFormatting sqref="B1:J3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F1" workbookViewId="0">
      <selection activeCell="K21" sqref="K21"/>
    </sheetView>
  </sheetViews>
  <sheetFormatPr baseColWidth="8" defaultRowHeight="14"/>
  <cols>
    <col width="11.83203125" bestFit="1" customWidth="1" min="1" max="1"/>
    <col width="35" bestFit="1" customWidth="1" min="2" max="2"/>
    <col width="14.83203125" customWidth="1" min="3" max="3"/>
    <col width="11.75" bestFit="1" customWidth="1" min="4" max="4"/>
    <col width="11.83203125" bestFit="1" customWidth="1" min="5" max="5"/>
    <col width="17.08203125" bestFit="1" customWidth="1" min="6" max="6"/>
    <col width="17.08203125" customWidth="1" min="7" max="8"/>
    <col width="11.75" bestFit="1" customWidth="1" min="9" max="9"/>
    <col width="18.08203125" bestFit="1" customWidth="1" min="10" max="10"/>
    <col width="18.08203125" customWidth="1" min="11" max="11"/>
    <col width="21.83203125" bestFit="1" customWidth="1" min="12" max="12"/>
    <col width="11.75" bestFit="1" customWidth="1" min="13" max="13"/>
    <col width="26.75" bestFit="1" customWidth="1" min="14" max="14"/>
    <col width="13" bestFit="1" customWidth="1" min="15" max="15"/>
  </cols>
  <sheetData>
    <row r="1" ht="16.5" customHeight="1">
      <c r="A1" s="9" t="inlineStr">
        <is>
          <t>大厅等级</t>
        </is>
      </c>
      <c r="B1" s="9" t="inlineStr">
        <is>
          <t>（金库+商店+厢房+书院+兽栏）等级要求</t>
        </is>
      </c>
      <c r="C1" s="9" t="inlineStr">
        <is>
          <t>升级花费</t>
        </is>
      </c>
      <c r="D1" s="9" t="inlineStr">
        <is>
          <t>金库等级上限</t>
        </is>
      </c>
      <c r="E1" s="9" t="inlineStr">
        <is>
          <t>商店等级上限</t>
        </is>
      </c>
      <c r="F1" s="9" t="inlineStr">
        <is>
          <t>厢房等级上限</t>
        </is>
      </c>
      <c r="G1" s="9" t="inlineStr">
        <is>
          <t>书院等级上限</t>
        </is>
      </c>
      <c r="H1" s="9" t="inlineStr">
        <is>
          <t>兽栏等级上限</t>
        </is>
      </c>
      <c r="I1" s="10" t="inlineStr">
        <is>
          <t>model_id</t>
        </is>
      </c>
      <c r="J1" s="9" t="inlineStr">
        <is>
          <t>建筑名称</t>
        </is>
      </c>
      <c r="K1" s="9" t="inlineStr">
        <is>
          <t>地图UI图标id</t>
        </is>
      </c>
      <c r="L1" s="9" t="inlineStr">
        <is>
          <t>坐标</t>
        </is>
      </c>
      <c r="M1" s="9" t="inlineStr">
        <is>
          <t>朝向</t>
        </is>
      </c>
      <c r="N1" s="9" t="inlineStr">
        <is>
          <t>进入位置</t>
        </is>
      </c>
      <c r="O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requires_building_level:int</t>
        </is>
      </c>
      <c r="C2" s="10" t="inlineStr">
        <is>
          <t>cost:int</t>
        </is>
      </c>
      <c r="D2" s="10" t="inlineStr">
        <is>
          <t>vault_limit:int</t>
        </is>
      </c>
      <c r="E2" s="10" t="inlineStr">
        <is>
          <t>store_limit:int</t>
        </is>
      </c>
      <c r="F2" s="10" t="inlineStr">
        <is>
          <t>wing_room_limit:int</t>
        </is>
      </c>
      <c r="G2" s="10" t="inlineStr">
        <is>
          <t>library_limit:int</t>
        </is>
      </c>
      <c r="H2" s="10" t="inlineStr">
        <is>
          <t>pet_house_limit:int</t>
        </is>
      </c>
      <c r="I2" s="10" t="inlineStr">
        <is>
          <t>model_id:int</t>
        </is>
      </c>
      <c r="J2" s="10" t="inlineStr">
        <is>
          <t>building_name:string</t>
        </is>
      </c>
      <c r="K2" s="10" t="inlineStr">
        <is>
          <t>map_icon_id:int</t>
        </is>
      </c>
      <c r="L2" s="10" t="inlineStr">
        <is>
          <t>pos:tuple[float,float,float]</t>
        </is>
      </c>
      <c r="M2" s="10" t="inlineStr">
        <is>
          <t>dir:float</t>
        </is>
      </c>
      <c r="N2" s="10" t="inlineStr">
        <is>
          <t>goto_pos:tuple[float,float,float]</t>
        </is>
      </c>
      <c r="O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inlineStr">
        <is>
          <t>required:True</t>
        </is>
      </c>
      <c r="N3" s="9" t="inlineStr">
        <is>
          <t>required:True</t>
        </is>
      </c>
      <c r="O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inlineStr">
        <is>
          <t>聚义厅</t>
        </is>
      </c>
      <c r="K4" s="9" t="n">
        <v>4018</v>
      </c>
      <c r="L4" s="23" t="inlineStr">
        <is>
          <t>20, 0, 37</t>
        </is>
      </c>
      <c r="M4" s="9" t="n">
        <v>135</v>
      </c>
      <c r="N4" s="23" t="inlineStr">
        <is>
          <t>28, 0, 29</t>
        </is>
      </c>
      <c r="O4" s="9" t="n">
        <v>-45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s="15" t="n">
        <v>1086</v>
      </c>
      <c r="J5" s="15" t="n"/>
      <c r="K5" s="15" t="n"/>
      <c r="L5" s="18" t="n"/>
      <c r="M5" s="15" t="n"/>
      <c r="N5" s="15" t="n"/>
      <c r="O5" s="15" t="n"/>
    </row>
    <row r="6">
      <c r="A6" t="n">
        <v>2</v>
      </c>
      <c r="B6" t="n">
        <v>2</v>
      </c>
      <c r="C6" t="n">
        <v>18000000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s="15" t="n">
        <v>1087</v>
      </c>
      <c r="J6" s="15" t="n"/>
      <c r="K6" s="15" t="n"/>
      <c r="L6" s="18" t="n"/>
      <c r="M6" s="15" t="n"/>
      <c r="N6" s="15" t="n"/>
      <c r="O6" s="15" t="n"/>
    </row>
    <row r="7">
      <c r="A7" t="n">
        <v>3</v>
      </c>
      <c r="B7" t="n">
        <v>4</v>
      </c>
      <c r="C7" t="n">
        <v>30000000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s="15" t="n">
        <v>1088</v>
      </c>
      <c r="J7" s="15" t="n"/>
      <c r="K7" s="15" t="n"/>
      <c r="L7" s="18" t="n"/>
      <c r="M7" s="15" t="n"/>
      <c r="N7" s="15" t="n"/>
      <c r="O7" s="15" t="n"/>
    </row>
    <row r="8">
      <c r="A8" t="n">
        <v>4</v>
      </c>
      <c r="B8" t="n">
        <v>6</v>
      </c>
      <c r="C8" t="n">
        <v>45000000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s="15" t="n">
        <v>1089</v>
      </c>
      <c r="J8" s="15" t="n"/>
      <c r="K8" s="15" t="n"/>
      <c r="L8" s="18" t="n"/>
      <c r="M8" s="15" t="n"/>
      <c r="N8" s="15" t="n"/>
      <c r="O8" s="15" t="n"/>
    </row>
    <row r="9">
      <c r="A9" t="n">
        <v>5</v>
      </c>
      <c r="B9" t="n">
        <v>8</v>
      </c>
      <c r="C9" t="n">
        <v>63000000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s="15" t="n">
        <v>1090</v>
      </c>
      <c r="J9" s="15" t="n"/>
      <c r="K9" s="15" t="n"/>
      <c r="L9" s="18" t="n"/>
      <c r="M9" s="15" t="n"/>
      <c r="N9" s="15" t="n"/>
      <c r="O9" s="15" t="n"/>
    </row>
    <row r="10">
      <c r="K10" s="15" t="n"/>
    </row>
    <row r="11">
      <c r="K11" s="15" t="n"/>
    </row>
  </sheetData>
  <conditionalFormatting sqref="C1:H2">
    <cfRule type="duplicateValues" priority="8" dxfId="0"/>
  </conditionalFormatting>
  <conditionalFormatting sqref="J1:J2">
    <cfRule type="duplicateValues" priority="2" dxfId="0"/>
  </conditionalFormatting>
  <conditionalFormatting sqref="K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ColWidth="9" defaultRowHeight="14"/>
  <cols>
    <col width="11.83203125" bestFit="1" customWidth="1" style="15" min="1" max="1"/>
    <col width="11.75" bestFit="1" customWidth="1" style="15" min="2" max="2"/>
    <col width="12.5" bestFit="1" customWidth="1" style="15" min="3" max="3"/>
    <col width="11.75" bestFit="1" customWidth="1" style="15" min="4" max="4"/>
    <col width="18.58203125" customWidth="1" style="15" min="5" max="5"/>
    <col width="18.08203125" customWidth="1" min="6" max="6"/>
    <col width="21.83203125" bestFit="1" customWidth="1" style="15" min="7" max="7"/>
    <col width="11.75" bestFit="1" customWidth="1" style="15" min="8" max="8"/>
    <col width="26.75" bestFit="1" customWidth="1" style="15" min="9" max="10"/>
    <col width="9" customWidth="1" style="15" min="11" max="16384"/>
  </cols>
  <sheetData>
    <row r="1" ht="16.5" customHeight="1">
      <c r="A1" s="9" t="inlineStr">
        <is>
          <t>金库等级</t>
        </is>
      </c>
      <c r="B1" s="9" t="inlineStr">
        <is>
          <t>升级花费</t>
        </is>
      </c>
      <c r="C1" s="9" t="inlineStr">
        <is>
          <t>帮派资金上限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金库坐标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funds_limit:int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金库</t>
        </is>
      </c>
      <c r="F4" s="9" t="n">
        <v>4019</v>
      </c>
      <c r="G4" s="9" t="inlineStr">
        <is>
          <t>34, 0, 48</t>
        </is>
      </c>
      <c r="H4" s="9" t="n">
        <v>135</v>
      </c>
      <c r="I4" s="9" t="inlineStr">
        <is>
          <t>42, 0, 40</t>
        </is>
      </c>
      <c r="J4" s="9" t="n">
        <v>-45</v>
      </c>
    </row>
    <row r="5">
      <c r="A5" s="15" t="n">
        <v>0</v>
      </c>
      <c r="B5" s="15" t="n">
        <v>0</v>
      </c>
      <c r="C5" s="15" t="n">
        <v>20000000</v>
      </c>
      <c r="D5" s="15" t="n">
        <v>0</v>
      </c>
      <c r="F5" s="15" t="n"/>
      <c r="G5" s="18" t="n"/>
    </row>
    <row r="6">
      <c r="A6" s="15" t="n">
        <v>1</v>
      </c>
      <c r="B6" s="15" t="n">
        <v>1500000</v>
      </c>
      <c r="C6" s="15" t="n">
        <v>35000000</v>
      </c>
      <c r="D6" s="15" t="n">
        <v>1111</v>
      </c>
      <c r="F6" s="15" t="n"/>
      <c r="G6" s="18" t="n"/>
    </row>
    <row r="7">
      <c r="A7" s="15" t="n">
        <v>2</v>
      </c>
      <c r="B7" s="15" t="n">
        <v>3000000</v>
      </c>
      <c r="C7" s="15" t="n">
        <v>50000000</v>
      </c>
      <c r="D7" s="15" t="n">
        <v>1112</v>
      </c>
      <c r="F7" s="15" t="n"/>
      <c r="G7" s="18" t="n"/>
    </row>
    <row r="8">
      <c r="A8" s="15" t="n">
        <v>3</v>
      </c>
      <c r="B8" s="15" t="n">
        <v>6000000</v>
      </c>
      <c r="C8" s="15" t="n">
        <v>65000000</v>
      </c>
      <c r="D8" s="15" t="n">
        <v>1113</v>
      </c>
      <c r="F8" s="15" t="n"/>
      <c r="G8" s="18" t="n"/>
    </row>
    <row r="9">
      <c r="A9" s="15" t="n">
        <v>4</v>
      </c>
      <c r="B9" s="15" t="n">
        <v>15000000</v>
      </c>
      <c r="C9" s="15" t="n">
        <v>80000000</v>
      </c>
      <c r="D9" s="15" t="n">
        <v>1114</v>
      </c>
      <c r="F9" s="15" t="n"/>
      <c r="G9" s="18" t="n"/>
    </row>
    <row r="10">
      <c r="A10" s="15" t="n">
        <v>5</v>
      </c>
      <c r="B10" s="15" t="n">
        <v>24000000</v>
      </c>
      <c r="C10" s="15" t="n">
        <v>95000000</v>
      </c>
      <c r="D10" s="15" t="n">
        <v>1115</v>
      </c>
      <c r="F10" s="15" t="n"/>
      <c r="G10" s="18" t="n"/>
    </row>
    <row r="11">
      <c r="F11" s="15" t="n"/>
    </row>
  </sheetData>
  <conditionalFormatting sqref="B1:C2 E1:E2">
    <cfRule type="duplicateValues" priority="7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" sqref="C1:C1048576"/>
    </sheetView>
  </sheetViews>
  <sheetFormatPr baseColWidth="8" defaultRowHeight="14"/>
  <cols>
    <col width="12.08203125" bestFit="1" customWidth="1" min="1" max="1"/>
    <col width="11.75" bestFit="1" customWidth="1" min="2" max="3"/>
    <col width="18.08203125" bestFit="1" customWidth="1" min="4" max="4"/>
    <col width="18.08203125" customWidth="1" min="5" max="5"/>
    <col width="21.83203125" bestFit="1" customWidth="1" min="6" max="6"/>
    <col width="11.75" bestFit="1" customWidth="1" min="7" max="7"/>
    <col width="26.75" bestFit="1" customWidth="1" min="8" max="8"/>
    <col width="26.75" bestFit="1" customWidth="1" style="15" min="9" max="9"/>
  </cols>
  <sheetData>
    <row r="1" ht="16.5" customHeight="1">
      <c r="A1" s="9" t="inlineStr">
        <is>
          <t>商店等级</t>
        </is>
      </c>
      <c r="B1" s="9" t="inlineStr">
        <is>
          <t>升级花费</t>
        </is>
      </c>
      <c r="C1" s="10" t="inlineStr">
        <is>
          <t>model_id</t>
        </is>
      </c>
      <c r="D1" s="9" t="inlineStr">
        <is>
          <t>建筑名称</t>
        </is>
      </c>
      <c r="E1" s="9" t="inlineStr">
        <is>
          <t>地图UI图标id</t>
        </is>
      </c>
      <c r="F1" s="9" t="inlineStr">
        <is>
          <t>商店坐标</t>
        </is>
      </c>
      <c r="G1" s="9" t="inlineStr">
        <is>
          <t>朝向</t>
        </is>
      </c>
      <c r="H1" s="9" t="inlineStr">
        <is>
          <t>进入位置</t>
        </is>
      </c>
      <c r="I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model_id:int</t>
        </is>
      </c>
      <c r="D2" s="10" t="inlineStr">
        <is>
          <t>building_name:string</t>
        </is>
      </c>
      <c r="E2" s="10" t="inlineStr">
        <is>
          <t>map_icon_id:int</t>
        </is>
      </c>
      <c r="F2" s="10" t="inlineStr">
        <is>
          <t>pos:tuple[float,float,float]</t>
        </is>
      </c>
      <c r="G2" s="10" t="inlineStr">
        <is>
          <t>dir:float</t>
        </is>
      </c>
      <c r="H2" s="10" t="inlineStr">
        <is>
          <t>goto_pos:tuple[float,float,float]</t>
        </is>
      </c>
      <c r="I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</row>
    <row r="4" ht="16.5" customHeight="1">
      <c r="A4" s="9" t="n"/>
      <c r="B4" s="9" t="n"/>
      <c r="C4" s="9" t="n"/>
      <c r="D4" s="9" t="inlineStr">
        <is>
          <t>商店</t>
        </is>
      </c>
      <c r="E4" s="9" t="n">
        <v>4020</v>
      </c>
      <c r="F4" s="9" t="inlineStr">
        <is>
          <t>69, 0, 16</t>
        </is>
      </c>
      <c r="G4" s="9" t="n">
        <v>-135</v>
      </c>
      <c r="H4" s="9" t="inlineStr">
        <is>
          <t>61, 0, 8</t>
        </is>
      </c>
      <c r="I4" s="9" t="n">
        <v>45</v>
      </c>
    </row>
    <row r="5">
      <c r="A5" t="n">
        <v>0</v>
      </c>
      <c r="B5" t="n">
        <v>0</v>
      </c>
      <c r="C5" s="15" t="n">
        <v>0</v>
      </c>
      <c r="E5" s="15" t="n"/>
      <c r="G5" s="15" t="n"/>
    </row>
    <row r="6">
      <c r="A6" t="n">
        <v>1</v>
      </c>
      <c r="B6" t="n">
        <v>1500000</v>
      </c>
      <c r="C6" s="15" t="n">
        <v>1091</v>
      </c>
      <c r="E6" s="15" t="n"/>
      <c r="G6" s="15" t="n"/>
    </row>
    <row r="7">
      <c r="A7" t="n">
        <v>2</v>
      </c>
      <c r="B7" t="n">
        <v>3000000</v>
      </c>
      <c r="C7" s="15" t="n">
        <v>1092</v>
      </c>
      <c r="E7" s="15" t="n"/>
      <c r="G7" s="15" t="n"/>
    </row>
    <row r="8">
      <c r="A8" t="n">
        <v>3</v>
      </c>
      <c r="B8" t="n">
        <v>6000000</v>
      </c>
      <c r="C8" s="15" t="n">
        <v>1093</v>
      </c>
      <c r="E8" s="15" t="n"/>
      <c r="G8" s="15" t="n"/>
    </row>
    <row r="9">
      <c r="A9" t="n">
        <v>4</v>
      </c>
      <c r="B9" t="n">
        <v>15000000</v>
      </c>
      <c r="C9" s="15" t="n">
        <v>1094</v>
      </c>
      <c r="E9" s="15" t="n"/>
      <c r="G9" s="15" t="n"/>
    </row>
    <row r="10">
      <c r="A10" t="n">
        <v>5</v>
      </c>
      <c r="B10" t="n">
        <v>24000000</v>
      </c>
      <c r="C10" s="15" t="n">
        <v>1095</v>
      </c>
      <c r="E10" s="15" t="n"/>
      <c r="G10" s="15" t="n"/>
    </row>
    <row r="11">
      <c r="E11" s="15" t="n"/>
    </row>
  </sheetData>
  <conditionalFormatting sqref="B1:B2">
    <cfRule type="duplicateValues" priority="9" dxfId="0"/>
  </conditionalFormatting>
  <conditionalFormatting sqref="D1:D2">
    <cfRule type="duplicateValues" priority="2" dxfId="0"/>
  </conditionalFormatting>
  <conditionalFormatting sqref="E1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RowHeight="14"/>
  <cols>
    <col width="11.75" bestFit="1" customWidth="1" min="1" max="2"/>
    <col width="14.75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6.5" customHeight="1">
      <c r="A1" s="9" t="inlineStr">
        <is>
          <t>厢房等级</t>
        </is>
      </c>
      <c r="B1" s="9" t="inlineStr">
        <is>
          <t>升级花费</t>
        </is>
      </c>
      <c r="C1" s="9" t="inlineStr">
        <is>
          <t>帮派人数上限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厢房坐标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member_limit:int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厢房</t>
        </is>
      </c>
      <c r="F4" s="9" t="n">
        <v>4022</v>
      </c>
      <c r="G4" s="23" t="inlineStr">
        <is>
          <t>-18, 0, -2</t>
        </is>
      </c>
      <c r="H4" s="9" t="n">
        <v>135</v>
      </c>
      <c r="I4" s="23" t="inlineStr">
        <is>
          <t>-12, 0, -8</t>
        </is>
      </c>
      <c r="J4" s="9" t="n">
        <v>-45</v>
      </c>
    </row>
    <row r="5">
      <c r="A5" t="n">
        <v>0</v>
      </c>
      <c r="B5" t="n">
        <v>0</v>
      </c>
      <c r="C5" t="n">
        <v>100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130</v>
      </c>
      <c r="D6" s="15" t="n">
        <v>1106</v>
      </c>
      <c r="F6" s="15" t="n"/>
      <c r="H6" s="15" t="n"/>
    </row>
    <row r="7">
      <c r="A7" t="n">
        <v>2</v>
      </c>
      <c r="B7" t="n">
        <v>3000000</v>
      </c>
      <c r="C7" t="n">
        <v>160</v>
      </c>
      <c r="D7" s="15" t="n">
        <v>1107</v>
      </c>
      <c r="F7" s="15" t="n"/>
      <c r="H7" s="15" t="n"/>
    </row>
    <row r="8">
      <c r="A8" t="n">
        <v>3</v>
      </c>
      <c r="B8" t="n">
        <v>6000000</v>
      </c>
      <c r="C8" t="n">
        <v>190</v>
      </c>
      <c r="D8" s="15" t="n">
        <v>1108</v>
      </c>
      <c r="F8" s="15" t="n"/>
      <c r="H8" s="15" t="n"/>
    </row>
    <row r="9">
      <c r="A9" t="n">
        <v>4</v>
      </c>
      <c r="B9" t="n">
        <v>15000000</v>
      </c>
      <c r="C9" t="n">
        <v>220</v>
      </c>
      <c r="D9" s="15" t="n">
        <v>1109</v>
      </c>
      <c r="F9" s="15" t="n"/>
      <c r="H9" s="15" t="n"/>
    </row>
    <row r="10">
      <c r="A10" t="n">
        <v>5</v>
      </c>
      <c r="B10" t="n">
        <v>24000000</v>
      </c>
      <c r="C10" t="n">
        <v>250</v>
      </c>
      <c r="D10" s="15" t="n">
        <v>1110</v>
      </c>
      <c r="F10" s="15" t="n"/>
      <c r="H10" s="15" t="n"/>
    </row>
    <row r="11">
      <c r="F11" s="15" t="n"/>
    </row>
  </sheetData>
  <conditionalFormatting sqref="B1:C2">
    <cfRule type="duplicateValues" priority="10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F15" sqref="F15"/>
    </sheetView>
  </sheetViews>
  <sheetFormatPr baseColWidth="8" defaultRowHeight="14"/>
  <cols>
    <col width="13" bestFit="1" customWidth="1" min="1" max="1"/>
    <col width="15.33203125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书院等级</t>
        </is>
      </c>
      <c r="B1" s="9" t="inlineStr">
        <is>
          <t>升级花费</t>
        </is>
      </c>
      <c r="C1" s="9" t="inlineStr">
        <is>
          <t>技能等级上限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书院坐标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spell_level_limit:int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书院</t>
        </is>
      </c>
      <c r="F4" s="9" t="n">
        <v>4021</v>
      </c>
      <c r="G4" s="23" t="inlineStr">
        <is>
          <t>-8, 0, 9</t>
        </is>
      </c>
      <c r="H4" s="9" t="n">
        <v>135</v>
      </c>
      <c r="I4" s="23" t="inlineStr">
        <is>
          <t>0, 0, 1</t>
        </is>
      </c>
      <c r="J4" s="9" t="n">
        <v>-45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1096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1097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1098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1099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1100</v>
      </c>
      <c r="F10" s="15" t="n"/>
      <c r="H10" s="15" t="n"/>
    </row>
    <row r="11">
      <c r="F11" s="15" t="n"/>
    </row>
  </sheetData>
  <conditionalFormatting sqref="B1:C2">
    <cfRule type="duplicateValues" priority="11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5" sqref="E15"/>
    </sheetView>
  </sheetViews>
  <sheetFormatPr baseColWidth="8" defaultRowHeight="14"/>
  <cols>
    <col width="16.5" bestFit="1" customWidth="1" min="1" max="1"/>
    <col width="11.75" bestFit="1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兽栏等级</t>
        </is>
      </c>
      <c r="B1" s="9" t="inlineStr">
        <is>
          <t>升级花费</t>
        </is>
      </c>
      <c r="C1" s="9" t="inlineStr">
        <is>
          <t>攻城灵兽等级上限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兽栏坐标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pet_level_limit:int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兽栏</t>
        </is>
      </c>
      <c r="F4" s="9" t="n">
        <v>4023</v>
      </c>
      <c r="G4" s="9" t="inlineStr">
        <is>
          <t>83, 0, 4</t>
        </is>
      </c>
      <c r="H4" s="9" t="n">
        <v>-135</v>
      </c>
      <c r="I4" s="9" t="inlineStr">
        <is>
          <t>75, 0, -4</t>
        </is>
      </c>
      <c r="J4" s="9" t="n">
        <v>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1101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1102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1103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1104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1105</v>
      </c>
      <c r="F10" s="15" t="n"/>
      <c r="H10" s="15" t="n"/>
    </row>
    <row r="11">
      <c r="F11" s="15" t="n"/>
    </row>
  </sheetData>
  <conditionalFormatting sqref="B1:C2">
    <cfRule type="duplicateValues" priority="12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J24" sqref="J24"/>
    </sheetView>
  </sheetViews>
  <sheetFormatPr baseColWidth="8" defaultRowHeight="14"/>
  <cols>
    <col width="11.75" bestFit="1" customWidth="1" min="1" max="3"/>
    <col width="14.83203125" bestFit="1" customWidth="1" min="4" max="4"/>
    <col width="11.75" bestFit="1" customWidth="1" min="5" max="6"/>
    <col width="12.83203125" customWidth="1" min="7" max="7"/>
  </cols>
  <sheetData>
    <row r="1" ht="16.5" customHeight="1">
      <c r="A1" s="9" t="inlineStr">
        <is>
          <t>任务ID</t>
        </is>
      </c>
      <c r="B1" s="9" t="inlineStr">
        <is>
          <t>概率</t>
        </is>
      </c>
      <c r="C1" s="9" t="inlineStr">
        <is>
          <t>物品ID</t>
        </is>
      </c>
      <c r="D1" s="9" t="inlineStr">
        <is>
          <t>物品数量</t>
        </is>
      </c>
      <c r="E1" s="9" t="inlineStr">
        <is>
          <t>奖励ID</t>
        </is>
      </c>
    </row>
    <row r="2" ht="16.5" customHeight="1">
      <c r="A2" s="10" t="inlineStr">
        <is>
          <t>quest_id:int</t>
        </is>
      </c>
      <c r="B2" s="10" t="inlineStr">
        <is>
          <t>weight:int</t>
        </is>
      </c>
      <c r="C2" s="10" t="inlineStr">
        <is>
          <t>item_id:int</t>
        </is>
      </c>
      <c r="D2" s="10" t="inlineStr">
        <is>
          <t>item_num:int</t>
        </is>
      </c>
      <c r="E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</row>
    <row r="5">
      <c r="A5" t="n">
        <v>1</v>
      </c>
      <c r="B5" t="n">
        <v>100</v>
      </c>
      <c r="C5" t="n">
        <v>10001</v>
      </c>
      <c r="D5" t="n">
        <v>1</v>
      </c>
      <c r="E5" t="n">
        <v>10001</v>
      </c>
    </row>
    <row r="6">
      <c r="A6" t="n">
        <v>2</v>
      </c>
      <c r="B6" t="n">
        <v>100</v>
      </c>
      <c r="C6" t="n">
        <v>10001</v>
      </c>
      <c r="D6" t="n">
        <v>2</v>
      </c>
      <c r="E6" t="n">
        <v>10001</v>
      </c>
    </row>
    <row r="7">
      <c r="A7" t="n">
        <v>3</v>
      </c>
      <c r="B7" t="n">
        <v>100</v>
      </c>
      <c r="C7" t="n">
        <v>10001</v>
      </c>
      <c r="D7" t="n">
        <v>3</v>
      </c>
      <c r="E7" t="n">
        <v>10001</v>
      </c>
    </row>
    <row r="8">
      <c r="A8" t="n">
        <v>4</v>
      </c>
      <c r="B8" t="n">
        <v>100</v>
      </c>
      <c r="C8" t="n">
        <v>10001</v>
      </c>
      <c r="D8" t="n">
        <v>4</v>
      </c>
      <c r="E8" t="n">
        <v>10001</v>
      </c>
    </row>
    <row r="9">
      <c r="A9" t="n">
        <v>5</v>
      </c>
      <c r="B9" t="n">
        <v>100</v>
      </c>
      <c r="C9" t="n">
        <v>10001</v>
      </c>
      <c r="D9" t="n">
        <v>5</v>
      </c>
      <c r="E9" t="n">
        <v>10001</v>
      </c>
    </row>
    <row r="10">
      <c r="A10" t="n">
        <v>6</v>
      </c>
      <c r="B10" t="n">
        <v>100</v>
      </c>
      <c r="C10" t="n">
        <v>10001</v>
      </c>
      <c r="D10" t="n">
        <v>6</v>
      </c>
      <c r="E10" t="n">
        <v>10001</v>
      </c>
    </row>
    <row r="11">
      <c r="A11" t="n">
        <v>7</v>
      </c>
      <c r="B11" t="n">
        <v>100</v>
      </c>
      <c r="C11" t="n">
        <v>10001</v>
      </c>
      <c r="D11" t="n">
        <v>7</v>
      </c>
      <c r="E11" t="n">
        <v>10001</v>
      </c>
    </row>
    <row r="12">
      <c r="A12" t="n">
        <v>8</v>
      </c>
      <c r="B12" t="n">
        <v>100</v>
      </c>
      <c r="C12" t="n">
        <v>10001</v>
      </c>
      <c r="D12" t="n">
        <v>8</v>
      </c>
      <c r="E12" t="n">
        <v>10001</v>
      </c>
    </row>
    <row r="13">
      <c r="A13" t="n">
        <v>9</v>
      </c>
      <c r="B13" t="n">
        <v>100</v>
      </c>
      <c r="C13" t="n">
        <v>10001</v>
      </c>
      <c r="D13" t="n">
        <v>9</v>
      </c>
      <c r="E13" t="n">
        <v>10001</v>
      </c>
    </row>
    <row r="14">
      <c r="A14" t="n">
        <v>10</v>
      </c>
      <c r="B14" t="n">
        <v>100</v>
      </c>
      <c r="C14" t="n">
        <v>10001</v>
      </c>
      <c r="D14" t="n">
        <v>10</v>
      </c>
      <c r="E14" t="n">
        <v>10001</v>
      </c>
    </row>
  </sheetData>
  <conditionalFormatting sqref="C1:E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G24" sqref="G24"/>
    </sheetView>
  </sheetViews>
  <sheetFormatPr baseColWidth="8" defaultRowHeight="14"/>
  <cols>
    <col width="11.75" bestFit="1" customWidth="1" min="1" max="2"/>
  </cols>
  <sheetData>
    <row r="1" ht="16.5" customHeight="1">
      <c r="A1" s="9" t="inlineStr">
        <is>
          <t>完成数量</t>
        </is>
      </c>
      <c r="B1" s="9" t="inlineStr">
        <is>
          <t>奖励ID</t>
        </is>
      </c>
    </row>
    <row r="2" ht="16.5" customHeight="1">
      <c r="A2" s="10" t="inlineStr">
        <is>
          <t>count:int</t>
        </is>
      </c>
      <c r="B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</row>
    <row r="4" ht="16.5" customHeight="1">
      <c r="A4" s="9" t="n"/>
      <c r="B4" s="9" t="n"/>
    </row>
    <row r="5">
      <c r="A5" t="n">
        <v>5</v>
      </c>
      <c r="B5" t="n">
        <v>10001</v>
      </c>
    </row>
    <row r="6">
      <c r="A6" t="n">
        <v>6</v>
      </c>
      <c r="B6" t="n">
        <v>10001</v>
      </c>
    </row>
    <row r="7">
      <c r="A7" t="n">
        <v>7</v>
      </c>
      <c r="B7" t="n">
        <v>10001</v>
      </c>
    </row>
    <row r="8">
      <c r="A8" t="n">
        <v>8</v>
      </c>
      <c r="B8" t="n">
        <v>10001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:D4"/>
    </sheetView>
  </sheetViews>
  <sheetFormatPr baseColWidth="8" defaultRowHeight="14"/>
  <cols>
    <col width="12.83203125" bestFit="1" customWidth="1" min="1" max="1"/>
    <col width="11.75" bestFit="1" customWidth="1" min="2" max="2"/>
    <col width="27.08203125" customWidth="1" min="3" max="3"/>
    <col width="44.25" bestFit="1" customWidth="1" min="4" max="4"/>
  </cols>
  <sheetData>
    <row r="1" ht="16.5" customHeight="1">
      <c r="A1" s="9" t="inlineStr">
        <is>
          <t>迎新词ID</t>
        </is>
      </c>
      <c r="B1" s="9" t="inlineStr">
        <is>
          <t>简称</t>
        </is>
      </c>
      <c r="C1" s="9" t="inlineStr">
        <is>
          <t>前缀</t>
        </is>
      </c>
      <c r="D1" s="9" t="inlineStr">
        <is>
          <t>内容</t>
        </is>
      </c>
    </row>
    <row r="2" ht="16.5" customHeight="1">
      <c r="A2" s="10" t="inlineStr">
        <is>
          <t>message_id:int</t>
        </is>
      </c>
      <c r="B2" s="10" t="inlineStr">
        <is>
          <t>alias:str</t>
        </is>
      </c>
      <c r="C2" s="10" t="inlineStr">
        <is>
          <t>prefix:str</t>
        </is>
      </c>
      <c r="D2" s="10" t="inlineStr">
        <is>
          <t>content:str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</row>
    <row r="4" ht="16.5" customHeight="1">
      <c r="A4" s="9" t="n"/>
      <c r="B4" s="9" t="n"/>
      <c r="C4" s="9" t="n"/>
      <c r="D4" s="9" t="n"/>
    </row>
    <row r="5" ht="16.5" customHeight="1">
      <c r="A5" t="n">
        <v>1</v>
      </c>
      <c r="B5" t="inlineStr">
        <is>
          <t>热烈欢迎</t>
        </is>
      </c>
      <c r="C5" t="inlineStr">
        <is>
          <t>{}对{}说道：</t>
        </is>
      </c>
      <c r="D5" t="inlineStr">
        <is>
          <t>欢迎入帮，热烈欢迎！</t>
        </is>
      </c>
      <c r="E5" s="8" t="n"/>
      <c r="F5" s="8" t="n"/>
    </row>
    <row r="6" ht="16.5" customHeight="1">
      <c r="A6" t="n">
        <v>2</v>
      </c>
      <c r="B6" t="inlineStr">
        <is>
          <t>称兄道弟</t>
        </is>
      </c>
      <c r="C6" t="inlineStr">
        <is>
          <t>{}对{}抱拳说道：</t>
        </is>
      </c>
      <c r="D6" t="inlineStr">
        <is>
          <t>进了帮以后大家就是兄弟姐妹了，亲如一家人！</t>
        </is>
      </c>
      <c r="E6" s="8" t="n"/>
      <c r="F6" s="8" t="n"/>
    </row>
    <row r="7" ht="16.5" customHeight="1">
      <c r="A7" t="n">
        <v>3</v>
      </c>
      <c r="B7" t="inlineStr">
        <is>
          <t>我来罩你</t>
        </is>
      </c>
      <c r="C7" t="inlineStr">
        <is>
          <t>{}对{}挥手说道：</t>
        </is>
      </c>
      <c r="D7" t="inlineStr">
        <is>
          <t>进了帮以后跟我混，有什么事我来罩着你！</t>
        </is>
      </c>
      <c r="E7" s="8" t="n"/>
      <c r="F7" s="8" t="n"/>
    </row>
    <row r="8" ht="16.5" customHeight="1">
      <c r="A8" t="n">
        <v>4</v>
      </c>
      <c r="B8" t="inlineStr">
        <is>
          <t>共同发展</t>
        </is>
      </c>
      <c r="C8" t="inlineStr">
        <is>
          <t>{}对{}说道：</t>
        </is>
      </c>
      <c r="D8" t="inlineStr">
        <is>
          <t>帮派发展靠大家，进帮后大家共同努力发展帮派哦！</t>
        </is>
      </c>
      <c r="E8" s="8" t="n"/>
      <c r="F8" s="8" t="n"/>
    </row>
    <row r="9" ht="16.5" customHeight="1">
      <c r="A9" t="n">
        <v>5</v>
      </c>
      <c r="B9" t="inlineStr">
        <is>
          <t>栋梁之才</t>
        </is>
      </c>
      <c r="C9" t="inlineStr">
        <is>
          <t>{}对{}说道：</t>
        </is>
      </c>
      <c r="D9" t="inlineStr">
        <is>
          <t>帮派发展急缺人才，你将来一定我们帮的栋梁之才！</t>
        </is>
      </c>
      <c r="E9" s="8" t="n"/>
      <c r="F9" s="8" t="n"/>
    </row>
  </sheetData>
  <conditionalFormatting sqref="C1:D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xSplit="3" ySplit="4" topLeftCell="D11" activePane="bottomRight" state="frozenSplit"/>
      <selection pane="topRight" activeCell="G1" sqref="G1"/>
      <selection pane="bottomLeft" activeCell="A20" sqref="A20"/>
      <selection pane="bottomRight" activeCell="A44" sqref="A44:XFD44"/>
    </sheetView>
  </sheetViews>
  <sheetFormatPr baseColWidth="8" defaultColWidth="9" defaultRowHeight="14"/>
  <cols>
    <col width="12.83203125" bestFit="1" customWidth="1" style="15" min="1" max="1"/>
    <col width="12.83203125" customWidth="1" style="15" min="2" max="2"/>
    <col width="11.75" bestFit="1" customWidth="1" style="15" min="3" max="3"/>
    <col width="22.25" bestFit="1" customWidth="1" style="15" min="4" max="4"/>
    <col width="18.58203125" customWidth="1" style="15" min="5" max="5"/>
    <col width="21.75" customWidth="1" style="15" min="6" max="6"/>
    <col width="18.58203125" bestFit="1" customWidth="1" style="15" min="7" max="7"/>
    <col width="19.5" bestFit="1" customWidth="1" style="15" min="8" max="8"/>
    <col width="26" bestFit="1" customWidth="1" style="15" min="9" max="9"/>
    <col width="24.33203125" bestFit="1" customWidth="1" style="15" min="10" max="10"/>
    <col width="26" bestFit="1" customWidth="1" style="15" min="11" max="11"/>
    <col width="24.33203125" bestFit="1" customWidth="1" style="15" min="12" max="12"/>
    <col width="20.33203125" bestFit="1" customWidth="1" style="15" min="13" max="13"/>
    <col width="21.83203125" customWidth="1" style="15" min="14" max="14"/>
    <col width="26.83203125" customWidth="1" style="15" min="15" max="15"/>
    <col width="9" customWidth="1" style="15" min="16" max="16384"/>
  </cols>
  <sheetData>
    <row r="1" ht="43.5" customHeight="1">
      <c r="A1" s="9" t="inlineStr">
        <is>
          <t>技能ID</t>
        </is>
      </c>
      <c r="B1" s="9" t="inlineStr">
        <is>
          <t>备注</t>
        </is>
      </c>
      <c r="C1" s="9" t="inlineStr">
        <is>
          <t>等级</t>
        </is>
      </c>
      <c r="D1" s="9" t="inlineStr">
        <is>
          <t>技能名称
（在等级数据的第一行配）</t>
        </is>
      </c>
      <c r="E1" s="9" t="inlineStr">
        <is>
          <t>详细效果
（在等级数据的第一行配）</t>
        </is>
      </c>
      <c r="F1" s="9" t="inlineStr">
        <is>
          <t>程序效果
（策划别管）</t>
        </is>
      </c>
      <c r="G1" s="9" t="inlineStr">
        <is>
          <t>当前等级研发所需进度
（0代表不用研究）</t>
        </is>
      </c>
      <c r="H1" s="9" t="inlineStr">
        <is>
          <t>学习所需角色等级</t>
        </is>
      </c>
      <c r="I1" s="9" t="inlineStr">
        <is>
          <t>学习所需道具1类型(帮贡道具id)</t>
        </is>
      </c>
      <c r="J1" s="9" t="inlineStr">
        <is>
          <t>学习所需道具1数量(帮贡数量)</t>
        </is>
      </c>
      <c r="K1" s="9" t="inlineStr">
        <is>
          <t>学习所需道具2类型(银币道具id)</t>
        </is>
      </c>
      <c r="L1" s="9" t="inlineStr">
        <is>
          <t>学习所需道具2数量(银币数量)</t>
        </is>
      </c>
      <c r="M1" s="9" t="inlineStr">
        <is>
          <t>气血上限加成效果的数值</t>
        </is>
      </c>
      <c r="N1" s="9" t="inlineStr">
        <is>
          <t>真元上限加成效果的数值</t>
        </is>
      </c>
    </row>
    <row r="2" ht="14.5" customHeight="1">
      <c r="A2" s="10" t="inlineStr">
        <is>
          <t>spell_id:int</t>
        </is>
      </c>
      <c r="B2" s="10" t="n"/>
      <c r="C2" s="10" t="inlineStr">
        <is>
          <t>level:int</t>
        </is>
      </c>
      <c r="D2" s="10" t="inlineStr">
        <is>
          <t>spell_name:str</t>
        </is>
      </c>
      <c r="E2" s="10" t="inlineStr">
        <is>
          <t>spell_desc:str</t>
        </is>
      </c>
      <c r="F2" s="10" t="inlineStr">
        <is>
          <t>spell_script:str</t>
        </is>
      </c>
      <c r="G2" s="10" t="inlineStr">
        <is>
          <t>required_develop:int</t>
        </is>
      </c>
      <c r="H2" s="10" t="inlineStr">
        <is>
          <t>required_player_level:int</t>
        </is>
      </c>
      <c r="I2" s="10" t="inlineStr">
        <is>
          <t>upgrade_costs[0][0]:int</t>
        </is>
      </c>
      <c r="J2" s="10" t="inlineStr">
        <is>
          <t>upgrade_costs[0][1]:int</t>
        </is>
      </c>
      <c r="K2" s="10" t="inlineStr">
        <is>
          <t>upgrade_costs[1][0]:int</t>
        </is>
      </c>
      <c r="L2" s="10" t="inlineStr">
        <is>
          <t>upgrade_costs[1][1]:int</t>
        </is>
      </c>
      <c r="M2" s="10" t="inlineStr">
        <is>
          <t>hp_max_rate:float</t>
        </is>
      </c>
      <c r="N2" s="10" t="inlineStr">
        <is>
          <t>mp_max_rate:float</t>
        </is>
      </c>
    </row>
    <row r="3" ht="14.5" customHeight="1">
      <c r="A3" s="9" t="inlineStr">
        <is>
          <t>key:1</t>
        </is>
      </c>
      <c r="B3" s="9" t="n"/>
      <c r="C3" s="9" t="inlineStr">
        <is>
          <t>key:2</t>
        </is>
      </c>
      <c r="D3" s="9" t="n"/>
      <c r="E3" s="9" t="n"/>
      <c r="F3" s="9" t="n"/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n"/>
      <c r="N3" s="9" t="n"/>
    </row>
    <row r="4" ht="14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>
        <v>27000</v>
      </c>
      <c r="J4" s="9" t="n">
        <v>0</v>
      </c>
      <c r="K4" s="9" t="n">
        <v>24002</v>
      </c>
      <c r="L4" s="9" t="n">
        <v>0</v>
      </c>
      <c r="M4" s="9" t="n"/>
      <c r="N4" s="9" t="n"/>
    </row>
    <row r="5" ht="56" customFormat="1" customHeight="1" s="20">
      <c r="A5" s="20" t="n">
        <v>4901</v>
      </c>
      <c r="B5" s="20" t="inlineStr">
        <is>
          <t>强身术</t>
        </is>
      </c>
      <c r="C5" s="20" t="n">
        <v>1</v>
      </c>
      <c r="D5" s="20" t="inlineStr">
        <is>
          <t>强身术</t>
        </is>
      </c>
      <c r="E5" s="22" t="inlineStr">
        <is>
          <t>强身健体是习武之人的根本，每学习一级可以提高一定的气血上限。</t>
        </is>
      </c>
      <c r="F5" s="20" t="inlineStr">
        <is>
          <t>vitality</t>
        </is>
      </c>
      <c r="G5" s="20" t="n">
        <v>0</v>
      </c>
      <c r="H5" s="20" t="n">
        <v>0</v>
      </c>
      <c r="J5" s="20" t="n">
        <v>0</v>
      </c>
      <c r="L5" s="20" t="n">
        <v>150</v>
      </c>
      <c r="M5" s="20" t="n">
        <v>0.001</v>
      </c>
    </row>
    <row r="6" customFormat="1" s="20">
      <c r="A6" s="20" t="n">
        <v>4901</v>
      </c>
      <c r="B6" s="20" t="inlineStr">
        <is>
          <t>强身术</t>
        </is>
      </c>
      <c r="C6" s="20" t="n">
        <v>2</v>
      </c>
      <c r="G6" s="20" t="n">
        <v>0</v>
      </c>
      <c r="H6" s="20" t="n">
        <v>0</v>
      </c>
      <c r="J6" s="20" t="n">
        <v>0</v>
      </c>
      <c r="L6" s="20" t="n">
        <v>270</v>
      </c>
      <c r="M6" s="20" t="n">
        <v>0.002</v>
      </c>
    </row>
    <row r="7" customFormat="1" s="20">
      <c r="A7" s="20" t="n">
        <v>4901</v>
      </c>
      <c r="B7" s="20" t="inlineStr">
        <is>
          <t>强身术</t>
        </is>
      </c>
      <c r="C7" s="20" t="n">
        <v>3</v>
      </c>
      <c r="G7" s="20" t="n">
        <v>0</v>
      </c>
      <c r="H7" s="20" t="n">
        <v>0</v>
      </c>
      <c r="J7" s="20" t="n">
        <v>0</v>
      </c>
      <c r="L7" s="20" t="n">
        <v>420</v>
      </c>
      <c r="M7" s="20" t="n">
        <v>0.003</v>
      </c>
    </row>
    <row r="8" customFormat="1" s="20">
      <c r="A8" s="20" t="n">
        <v>4901</v>
      </c>
      <c r="B8" s="20" t="inlineStr">
        <is>
          <t>强身术</t>
        </is>
      </c>
      <c r="C8" s="20" t="n">
        <v>4</v>
      </c>
      <c r="G8" s="20" t="n">
        <v>0</v>
      </c>
      <c r="H8" s="20" t="n">
        <v>0</v>
      </c>
      <c r="J8" s="20" t="n">
        <v>0</v>
      </c>
      <c r="L8" s="20" t="n">
        <v>660</v>
      </c>
      <c r="M8" s="20" t="n">
        <v>0.004</v>
      </c>
    </row>
    <row r="9" customFormat="1" s="20">
      <c r="A9" s="20" t="n">
        <v>4901</v>
      </c>
      <c r="B9" s="20" t="inlineStr">
        <is>
          <t>强身术</t>
        </is>
      </c>
      <c r="C9" s="20" t="n">
        <v>5</v>
      </c>
      <c r="G9" s="20" t="n">
        <v>0</v>
      </c>
      <c r="H9" s="20" t="n">
        <v>0</v>
      </c>
      <c r="J9" s="20" t="n">
        <v>0</v>
      </c>
      <c r="L9" s="20" t="n">
        <v>870</v>
      </c>
      <c r="M9" s="20" t="n">
        <v>0.005</v>
      </c>
    </row>
    <row r="10" customFormat="1" s="20">
      <c r="A10" s="20" t="n">
        <v>4901</v>
      </c>
      <c r="B10" s="20" t="inlineStr">
        <is>
          <t>强身术</t>
        </is>
      </c>
      <c r="C10" s="20" t="n">
        <v>6</v>
      </c>
      <c r="G10" s="20" t="n">
        <v>0</v>
      </c>
      <c r="H10" s="20" t="n">
        <v>0</v>
      </c>
      <c r="J10" s="20" t="n">
        <v>0</v>
      </c>
      <c r="L10" s="20" t="n">
        <v>1170</v>
      </c>
      <c r="M10" s="20" t="n">
        <v>0.006</v>
      </c>
    </row>
    <row r="11" customFormat="1" s="20">
      <c r="A11" s="20" t="n">
        <v>4901</v>
      </c>
      <c r="B11" s="20" t="inlineStr">
        <is>
          <t>强身术</t>
        </is>
      </c>
      <c r="C11" s="20" t="n">
        <v>7</v>
      </c>
      <c r="G11" s="20" t="n">
        <v>0</v>
      </c>
      <c r="H11" s="20" t="n">
        <v>0</v>
      </c>
      <c r="J11" s="20" t="n">
        <v>0</v>
      </c>
      <c r="L11" s="20" t="n">
        <v>1530</v>
      </c>
      <c r="M11" s="20" t="n">
        <v>0.007</v>
      </c>
    </row>
    <row r="12" customFormat="1" s="20">
      <c r="A12" s="20" t="n">
        <v>4901</v>
      </c>
      <c r="B12" s="20" t="inlineStr">
        <is>
          <t>强身术</t>
        </is>
      </c>
      <c r="C12" s="20" t="n">
        <v>8</v>
      </c>
      <c r="G12" s="20" t="n">
        <v>0</v>
      </c>
      <c r="H12" s="20" t="n">
        <v>0</v>
      </c>
      <c r="J12" s="20" t="n">
        <v>0</v>
      </c>
      <c r="L12" s="20" t="n">
        <v>1980</v>
      </c>
      <c r="M12" s="20" t="n">
        <v>0.008</v>
      </c>
    </row>
    <row r="13" customFormat="1" s="20">
      <c r="A13" s="20" t="n">
        <v>4901</v>
      </c>
      <c r="B13" s="20" t="inlineStr">
        <is>
          <t>强身术</t>
        </is>
      </c>
      <c r="C13" s="20" t="n">
        <v>9</v>
      </c>
      <c r="G13" s="20" t="n">
        <v>0</v>
      </c>
      <c r="H13" s="20" t="n">
        <v>0</v>
      </c>
      <c r="J13" s="20" t="n">
        <v>0</v>
      </c>
      <c r="L13" s="20" t="n">
        <v>2550</v>
      </c>
      <c r="M13" s="20" t="n">
        <v>0.008999999999999999</v>
      </c>
    </row>
    <row r="14" customFormat="1" s="20">
      <c r="A14" s="20" t="n">
        <v>4901</v>
      </c>
      <c r="B14" s="20" t="inlineStr">
        <is>
          <t>强身术</t>
        </is>
      </c>
      <c r="C14" s="20" t="n">
        <v>10</v>
      </c>
      <c r="G14" s="20" t="n">
        <v>0</v>
      </c>
      <c r="H14" s="20" t="n">
        <v>0</v>
      </c>
      <c r="J14" s="20" t="n">
        <v>0</v>
      </c>
      <c r="L14" s="20" t="n">
        <v>3180</v>
      </c>
      <c r="M14" s="20" t="n">
        <v>0.01</v>
      </c>
    </row>
    <row r="15" customFormat="1" s="20">
      <c r="A15" s="20" t="n">
        <v>4901</v>
      </c>
      <c r="B15" s="20" t="inlineStr">
        <is>
          <t>强身术</t>
        </is>
      </c>
      <c r="C15" s="20" t="n">
        <v>11</v>
      </c>
      <c r="G15" s="20" t="n">
        <v>0</v>
      </c>
      <c r="H15" s="20" t="n">
        <v>1</v>
      </c>
      <c r="J15" s="20" t="n">
        <v>0</v>
      </c>
      <c r="L15" s="20" t="n">
        <v>4020</v>
      </c>
      <c r="M15" s="20" t="n">
        <v>0.011</v>
      </c>
    </row>
    <row r="16" customFormat="1" s="20">
      <c r="A16" s="20" t="n">
        <v>4901</v>
      </c>
      <c r="B16" s="20" t="inlineStr">
        <is>
          <t>强身术</t>
        </is>
      </c>
      <c r="C16" s="20" t="n">
        <v>12</v>
      </c>
      <c r="G16" s="20" t="n">
        <v>0</v>
      </c>
      <c r="H16" s="20" t="n">
        <v>2</v>
      </c>
      <c r="J16" s="20" t="n">
        <v>0</v>
      </c>
      <c r="L16" s="20" t="n">
        <v>4980</v>
      </c>
      <c r="M16" s="20" t="n">
        <v>0.012</v>
      </c>
    </row>
    <row r="17" customFormat="1" s="20">
      <c r="A17" s="20" t="n">
        <v>4901</v>
      </c>
      <c r="B17" s="20" t="inlineStr">
        <is>
          <t>强身术</t>
        </is>
      </c>
      <c r="C17" s="20" t="n">
        <v>13</v>
      </c>
      <c r="G17" s="20" t="n">
        <v>0</v>
      </c>
      <c r="H17" s="20" t="n">
        <v>3</v>
      </c>
      <c r="J17" s="20" t="n">
        <v>0</v>
      </c>
      <c r="L17" s="20" t="n">
        <v>6120</v>
      </c>
      <c r="M17" s="20" t="n">
        <v>0.013</v>
      </c>
    </row>
    <row r="18" customFormat="1" s="20">
      <c r="A18" s="20" t="n">
        <v>4901</v>
      </c>
      <c r="B18" s="20" t="inlineStr">
        <is>
          <t>强身术</t>
        </is>
      </c>
      <c r="C18" s="20" t="n">
        <v>14</v>
      </c>
      <c r="G18" s="20" t="n">
        <v>0</v>
      </c>
      <c r="H18" s="20" t="n">
        <v>4</v>
      </c>
      <c r="J18" s="20" t="n">
        <v>0</v>
      </c>
      <c r="L18" s="20" t="n">
        <v>7470</v>
      </c>
      <c r="M18" s="20" t="n">
        <v>0.014</v>
      </c>
    </row>
    <row r="19" customFormat="1" s="20">
      <c r="A19" s="20" t="n">
        <v>4901</v>
      </c>
      <c r="B19" s="20" t="inlineStr">
        <is>
          <t>强身术</t>
        </is>
      </c>
      <c r="C19" s="20" t="n">
        <v>15</v>
      </c>
      <c r="G19" s="20" t="n">
        <v>0</v>
      </c>
      <c r="H19" s="20" t="n">
        <v>5</v>
      </c>
      <c r="J19" s="20" t="n">
        <v>0</v>
      </c>
      <c r="L19" s="20" t="n">
        <v>9030</v>
      </c>
      <c r="M19" s="20" t="n">
        <v>0.015</v>
      </c>
    </row>
    <row r="20" customFormat="1" s="20">
      <c r="A20" s="20" t="n">
        <v>4901</v>
      </c>
      <c r="B20" s="20" t="inlineStr">
        <is>
          <t>强身术</t>
        </is>
      </c>
      <c r="C20" s="20" t="n">
        <v>16</v>
      </c>
      <c r="G20" s="20" t="n">
        <v>0</v>
      </c>
      <c r="H20" s="20" t="n">
        <v>6</v>
      </c>
      <c r="J20" s="20" t="n">
        <v>0</v>
      </c>
      <c r="L20" s="20" t="n">
        <v>10848</v>
      </c>
      <c r="M20" s="20" t="n">
        <v>0.016</v>
      </c>
    </row>
    <row r="21" customFormat="1" s="20">
      <c r="A21" s="20" t="n">
        <v>4901</v>
      </c>
      <c r="B21" s="20" t="inlineStr">
        <is>
          <t>强身术</t>
        </is>
      </c>
      <c r="C21" s="20" t="n">
        <v>17</v>
      </c>
      <c r="G21" s="20" t="n">
        <v>0</v>
      </c>
      <c r="H21" s="20" t="n">
        <v>7</v>
      </c>
      <c r="J21" s="20" t="n">
        <v>0</v>
      </c>
      <c r="L21" s="20" t="n">
        <v>10860</v>
      </c>
      <c r="M21" s="20" t="n">
        <v>0.017</v>
      </c>
    </row>
    <row r="22" customFormat="1" s="20">
      <c r="A22" s="20" t="n">
        <v>4901</v>
      </c>
      <c r="B22" s="20" t="inlineStr">
        <is>
          <t>强身术</t>
        </is>
      </c>
      <c r="C22" s="20" t="n">
        <v>18</v>
      </c>
      <c r="G22" s="20" t="n">
        <v>0</v>
      </c>
      <c r="H22" s="20" t="n">
        <v>8</v>
      </c>
      <c r="J22" s="20" t="n">
        <v>0</v>
      </c>
      <c r="L22" s="20" t="n">
        <v>12930</v>
      </c>
      <c r="M22" s="20" t="n">
        <v>0.018</v>
      </c>
    </row>
    <row r="23" customFormat="1" s="20">
      <c r="A23" s="20" t="n">
        <v>4901</v>
      </c>
      <c r="B23" s="20" t="inlineStr">
        <is>
          <t>强身术</t>
        </is>
      </c>
      <c r="C23" s="20" t="n">
        <v>19</v>
      </c>
      <c r="G23" s="20" t="n">
        <v>0</v>
      </c>
      <c r="H23" s="20" t="n">
        <v>9</v>
      </c>
      <c r="J23" s="20" t="n">
        <v>0</v>
      </c>
      <c r="L23" s="20" t="n">
        <v>13128</v>
      </c>
      <c r="M23" s="20" t="n">
        <v>0.019</v>
      </c>
    </row>
    <row r="24" customFormat="1" s="20">
      <c r="A24" s="20" t="n">
        <v>4901</v>
      </c>
      <c r="B24" s="20" t="inlineStr">
        <is>
          <t>强身术</t>
        </is>
      </c>
      <c r="C24" s="20" t="n">
        <v>20</v>
      </c>
      <c r="G24" s="20" t="n">
        <v>0</v>
      </c>
      <c r="H24" s="20" t="n">
        <v>10</v>
      </c>
      <c r="J24" s="20" t="n">
        <v>0</v>
      </c>
      <c r="L24" s="20" t="n">
        <v>15048</v>
      </c>
      <c r="M24" s="20" t="n">
        <v>0.02</v>
      </c>
    </row>
    <row r="25" customFormat="1" s="20">
      <c r="A25" s="20" t="n">
        <v>4901</v>
      </c>
      <c r="B25" s="20" t="inlineStr">
        <is>
          <t>强身术</t>
        </is>
      </c>
      <c r="C25" s="20" t="n">
        <v>21</v>
      </c>
      <c r="G25" s="20" t="n">
        <v>0</v>
      </c>
      <c r="H25" s="20" t="n">
        <v>11</v>
      </c>
      <c r="J25" s="20" t="n">
        <v>2</v>
      </c>
      <c r="L25" s="20" t="n">
        <v>15330</v>
      </c>
      <c r="M25" s="20" t="n">
        <v>0.021</v>
      </c>
    </row>
    <row r="26" customFormat="1" s="20">
      <c r="A26" s="20" t="n">
        <v>4901</v>
      </c>
      <c r="B26" s="20" t="inlineStr">
        <is>
          <t>强身术</t>
        </is>
      </c>
      <c r="C26" s="20" t="n">
        <v>22</v>
      </c>
      <c r="G26" s="20" t="n">
        <v>0</v>
      </c>
      <c r="H26" s="20" t="n">
        <v>12</v>
      </c>
      <c r="J26" s="20" t="n">
        <v>2</v>
      </c>
      <c r="L26" s="20" t="n">
        <v>17184</v>
      </c>
      <c r="M26" s="20" t="n">
        <v>0.022</v>
      </c>
    </row>
    <row r="27" customFormat="1" s="20">
      <c r="A27" s="20" t="n">
        <v>4901</v>
      </c>
      <c r="B27" s="20" t="inlineStr">
        <is>
          <t>强身术</t>
        </is>
      </c>
      <c r="C27" s="20" t="n">
        <v>23</v>
      </c>
      <c r="G27" s="20" t="n">
        <v>0</v>
      </c>
      <c r="H27" s="20" t="n">
        <v>13</v>
      </c>
      <c r="J27" s="20" t="n">
        <v>2</v>
      </c>
      <c r="L27" s="20" t="n">
        <v>18090</v>
      </c>
      <c r="M27" s="20" t="n">
        <v>0.023</v>
      </c>
    </row>
    <row r="28" customFormat="1" s="20">
      <c r="A28" s="20" t="n">
        <v>4901</v>
      </c>
      <c r="B28" s="20" t="inlineStr">
        <is>
          <t>强身术</t>
        </is>
      </c>
      <c r="C28" s="20" t="n">
        <v>24</v>
      </c>
      <c r="G28" s="20" t="n">
        <v>0</v>
      </c>
      <c r="H28" s="20" t="n">
        <v>14</v>
      </c>
      <c r="J28" s="20" t="n">
        <v>2</v>
      </c>
      <c r="L28" s="20" t="n">
        <v>19536</v>
      </c>
      <c r="M28" s="20" t="n">
        <v>0.024</v>
      </c>
    </row>
    <row r="29" customFormat="1" s="20">
      <c r="A29" s="20" t="n">
        <v>4901</v>
      </c>
      <c r="B29" s="20" t="inlineStr">
        <is>
          <t>强身术</t>
        </is>
      </c>
      <c r="C29" s="20" t="n">
        <v>25</v>
      </c>
      <c r="G29" s="20" t="n">
        <v>0</v>
      </c>
      <c r="H29" s="20" t="n">
        <v>15</v>
      </c>
      <c r="J29" s="20" t="n">
        <v>2</v>
      </c>
      <c r="L29" s="20" t="n">
        <v>21120</v>
      </c>
      <c r="M29" s="20" t="n">
        <v>0.025</v>
      </c>
    </row>
    <row r="30" customFormat="1" s="20">
      <c r="A30" s="20" t="n">
        <v>4901</v>
      </c>
      <c r="B30" s="20" t="inlineStr">
        <is>
          <t>强身术</t>
        </is>
      </c>
      <c r="C30" s="20" t="n">
        <v>26</v>
      </c>
      <c r="G30" s="20" t="n">
        <v>0</v>
      </c>
      <c r="H30" s="20" t="n">
        <v>16</v>
      </c>
      <c r="J30" s="20" t="n">
        <v>2</v>
      </c>
      <c r="L30" s="20" t="n">
        <v>22128</v>
      </c>
      <c r="M30" s="20" t="n">
        <v>0.026</v>
      </c>
    </row>
    <row r="31" customFormat="1" s="20">
      <c r="A31" s="20" t="n">
        <v>4901</v>
      </c>
      <c r="B31" s="20" t="inlineStr">
        <is>
          <t>强身术</t>
        </is>
      </c>
      <c r="C31" s="20" t="n">
        <v>27</v>
      </c>
      <c r="G31" s="20" t="n">
        <v>0</v>
      </c>
      <c r="H31" s="20" t="n">
        <v>17</v>
      </c>
      <c r="J31" s="20" t="n">
        <v>2</v>
      </c>
      <c r="L31" s="20" t="n">
        <v>24972</v>
      </c>
      <c r="M31" s="20" t="n">
        <v>0.027</v>
      </c>
    </row>
    <row r="32" customFormat="1" s="20">
      <c r="A32" s="20" t="n">
        <v>4901</v>
      </c>
      <c r="B32" s="20" t="inlineStr">
        <is>
          <t>强身术</t>
        </is>
      </c>
      <c r="C32" s="20" t="n">
        <v>28</v>
      </c>
      <c r="G32" s="20" t="n">
        <v>0</v>
      </c>
      <c r="H32" s="20" t="n">
        <v>18</v>
      </c>
      <c r="J32" s="20" t="n">
        <v>2</v>
      </c>
      <c r="L32" s="20" t="n">
        <v>28068</v>
      </c>
      <c r="M32" s="20" t="n">
        <v>0.028</v>
      </c>
    </row>
    <row r="33" customFormat="1" s="20">
      <c r="A33" s="20" t="n">
        <v>4901</v>
      </c>
      <c r="B33" s="20" t="inlineStr">
        <is>
          <t>强身术</t>
        </is>
      </c>
      <c r="C33" s="20" t="n">
        <v>29</v>
      </c>
      <c r="G33" s="20" t="n">
        <v>0</v>
      </c>
      <c r="H33" s="20" t="n">
        <v>19</v>
      </c>
      <c r="J33" s="20" t="n">
        <v>2</v>
      </c>
      <c r="L33" s="20" t="n">
        <v>31464</v>
      </c>
      <c r="M33" s="20" t="n">
        <v>0.029</v>
      </c>
    </row>
    <row r="34" customFormat="1" s="20">
      <c r="A34" s="20" t="n">
        <v>4901</v>
      </c>
      <c r="B34" s="20" t="inlineStr">
        <is>
          <t>强身术</t>
        </is>
      </c>
      <c r="C34" s="20" t="n">
        <v>30</v>
      </c>
      <c r="G34" s="20" t="n">
        <v>0</v>
      </c>
      <c r="H34" s="20" t="n">
        <v>20</v>
      </c>
      <c r="J34" s="20" t="n">
        <v>2</v>
      </c>
      <c r="L34" s="20" t="n">
        <v>35148</v>
      </c>
      <c r="M34" s="20" t="n">
        <v>0.03</v>
      </c>
    </row>
    <row r="35" customFormat="1" s="20">
      <c r="A35" s="20" t="n">
        <v>4901</v>
      </c>
      <c r="B35" s="20" t="inlineStr">
        <is>
          <t>强身术</t>
        </is>
      </c>
      <c r="C35" s="20" t="n">
        <v>31</v>
      </c>
      <c r="G35" s="20" t="n">
        <v>0</v>
      </c>
      <c r="H35" s="20" t="n">
        <v>21</v>
      </c>
      <c r="J35" s="20" t="n">
        <v>2</v>
      </c>
      <c r="L35" s="20" t="n">
        <v>39144</v>
      </c>
      <c r="M35" s="20" t="n">
        <v>0.031</v>
      </c>
    </row>
    <row r="36" customFormat="1" s="20">
      <c r="A36" s="20" t="n">
        <v>4901</v>
      </c>
      <c r="B36" s="20" t="inlineStr">
        <is>
          <t>强身术</t>
        </is>
      </c>
      <c r="C36" s="20" t="n">
        <v>32</v>
      </c>
      <c r="G36" s="20" t="n">
        <v>0</v>
      </c>
      <c r="H36" s="20" t="n">
        <v>22</v>
      </c>
      <c r="J36" s="20" t="n">
        <v>2</v>
      </c>
      <c r="L36" s="20" t="n">
        <v>43464</v>
      </c>
      <c r="M36" s="20" t="n">
        <v>0.032</v>
      </c>
    </row>
    <row r="37" customFormat="1" s="20">
      <c r="A37" s="20" t="n">
        <v>4901</v>
      </c>
      <c r="B37" s="20" t="inlineStr">
        <is>
          <t>强身术</t>
        </is>
      </c>
      <c r="C37" s="20" t="n">
        <v>33</v>
      </c>
      <c r="G37" s="20" t="n">
        <v>0</v>
      </c>
      <c r="H37" s="20" t="n">
        <v>23</v>
      </c>
      <c r="J37" s="20" t="n">
        <v>2</v>
      </c>
      <c r="L37" s="20" t="n">
        <v>48156</v>
      </c>
      <c r="M37" s="20" t="n">
        <v>0.033</v>
      </c>
    </row>
    <row r="38" customFormat="1" s="20">
      <c r="A38" s="20" t="n">
        <v>4901</v>
      </c>
      <c r="B38" s="20" t="inlineStr">
        <is>
          <t>强身术</t>
        </is>
      </c>
      <c r="C38" s="20" t="n">
        <v>34</v>
      </c>
      <c r="G38" s="20" t="n">
        <v>0</v>
      </c>
      <c r="H38" s="20" t="n">
        <v>24</v>
      </c>
      <c r="J38" s="20" t="n">
        <v>2</v>
      </c>
      <c r="L38" s="20" t="n">
        <v>50232</v>
      </c>
      <c r="M38" s="20" t="n">
        <v>0.034</v>
      </c>
    </row>
    <row r="39" customFormat="1" s="20">
      <c r="A39" s="20" t="n">
        <v>4901</v>
      </c>
      <c r="B39" s="20" t="inlineStr">
        <is>
          <t>强身术</t>
        </is>
      </c>
      <c r="C39" s="20" t="n">
        <v>35</v>
      </c>
      <c r="G39" s="20" t="n">
        <v>0</v>
      </c>
      <c r="H39" s="20" t="n">
        <v>25</v>
      </c>
      <c r="J39" s="20" t="n">
        <v>2</v>
      </c>
      <c r="L39" s="20" t="n">
        <v>53196</v>
      </c>
      <c r="M39" s="20" t="n">
        <v>0.035</v>
      </c>
    </row>
    <row r="40" customFormat="1" s="20">
      <c r="A40" s="20" t="n">
        <v>4901</v>
      </c>
      <c r="B40" s="20" t="inlineStr">
        <is>
          <t>强身术</t>
        </is>
      </c>
      <c r="C40" s="20" t="n">
        <v>36</v>
      </c>
      <c r="G40" s="20" t="n">
        <v>0</v>
      </c>
      <c r="H40" s="20" t="n">
        <v>26</v>
      </c>
      <c r="J40" s="20" t="n">
        <v>2</v>
      </c>
      <c r="L40" s="20" t="n">
        <v>54576</v>
      </c>
      <c r="M40" s="20" t="n">
        <v>0.036</v>
      </c>
    </row>
    <row r="41" customFormat="1" s="20">
      <c r="A41" s="20" t="n">
        <v>4901</v>
      </c>
      <c r="B41" s="20" t="inlineStr">
        <is>
          <t>强身术</t>
        </is>
      </c>
      <c r="C41" s="20" t="n">
        <v>37</v>
      </c>
      <c r="G41" s="20" t="n">
        <v>0</v>
      </c>
      <c r="H41" s="20" t="n">
        <v>27</v>
      </c>
      <c r="J41" s="20" t="n">
        <v>2</v>
      </c>
      <c r="L41" s="20" t="n">
        <v>58644</v>
      </c>
      <c r="M41" s="20" t="n">
        <v>0.037</v>
      </c>
    </row>
    <row r="42" customFormat="1" s="20">
      <c r="A42" s="20" t="n">
        <v>4901</v>
      </c>
      <c r="B42" s="20" t="inlineStr">
        <is>
          <t>强身术</t>
        </is>
      </c>
      <c r="C42" s="20" t="n">
        <v>38</v>
      </c>
      <c r="G42" s="20" t="n">
        <v>0</v>
      </c>
      <c r="H42" s="20" t="n">
        <v>28</v>
      </c>
      <c r="J42" s="20" t="n">
        <v>2</v>
      </c>
      <c r="L42" s="20" t="n">
        <v>59202</v>
      </c>
      <c r="M42" s="20" t="n">
        <v>0.038</v>
      </c>
    </row>
    <row r="43" customFormat="1" s="20">
      <c r="A43" s="20" t="n">
        <v>4901</v>
      </c>
      <c r="B43" s="20" t="inlineStr">
        <is>
          <t>强身术</t>
        </is>
      </c>
      <c r="C43" s="20" t="n">
        <v>39</v>
      </c>
      <c r="G43" s="20" t="n">
        <v>0</v>
      </c>
      <c r="H43" s="20" t="n">
        <v>29</v>
      </c>
      <c r="J43" s="20" t="n">
        <v>2</v>
      </c>
      <c r="L43" s="20" t="n">
        <v>64116</v>
      </c>
      <c r="M43" s="20" t="n">
        <v>0.039</v>
      </c>
    </row>
    <row r="44" customFormat="1" s="20">
      <c r="A44" s="20" t="n">
        <v>4901</v>
      </c>
      <c r="B44" s="20" t="inlineStr">
        <is>
          <t>强身术</t>
        </is>
      </c>
      <c r="C44" s="20" t="n">
        <v>40</v>
      </c>
      <c r="G44" s="20" t="n">
        <v>0</v>
      </c>
      <c r="H44" s="20" t="n">
        <v>30</v>
      </c>
      <c r="J44" s="20" t="n">
        <v>2</v>
      </c>
      <c r="L44" s="20" t="n">
        <v>64404</v>
      </c>
      <c r="M44" s="20" t="n">
        <v>0.04</v>
      </c>
    </row>
    <row r="45" customFormat="1" s="20">
      <c r="A45" s="20" t="n">
        <v>4901</v>
      </c>
      <c r="B45" s="20" t="inlineStr">
        <is>
          <t>强身术</t>
        </is>
      </c>
      <c r="C45" s="20" t="n">
        <v>41</v>
      </c>
      <c r="G45" s="20" t="n">
        <v>0</v>
      </c>
      <c r="H45" s="20" t="n">
        <v>31</v>
      </c>
      <c r="J45" s="20" t="n">
        <v>6</v>
      </c>
      <c r="L45" s="20" t="n">
        <v>69324</v>
      </c>
      <c r="M45" s="20" t="n">
        <v>0.041</v>
      </c>
    </row>
    <row r="46" customFormat="1" s="20">
      <c r="A46" s="20" t="n">
        <v>4901</v>
      </c>
      <c r="B46" s="20" t="inlineStr">
        <is>
          <t>强身术</t>
        </is>
      </c>
      <c r="C46" s="20" t="n">
        <v>42</v>
      </c>
      <c r="G46" s="20" t="n">
        <v>0</v>
      </c>
      <c r="H46" s="20" t="n">
        <v>32</v>
      </c>
      <c r="J46" s="20" t="n">
        <v>12</v>
      </c>
      <c r="L46" s="20" t="n">
        <v>70752</v>
      </c>
      <c r="M46" s="20" t="n">
        <v>0.042</v>
      </c>
    </row>
    <row r="47" customFormat="1" s="20">
      <c r="A47" s="20" t="n">
        <v>4901</v>
      </c>
      <c r="B47" s="20" t="inlineStr">
        <is>
          <t>强身术</t>
        </is>
      </c>
      <c r="C47" s="20" t="n">
        <v>43</v>
      </c>
      <c r="G47" s="20" t="n">
        <v>0</v>
      </c>
      <c r="H47" s="20" t="n">
        <v>33</v>
      </c>
      <c r="J47" s="20" t="n">
        <v>18</v>
      </c>
      <c r="L47" s="20" t="n">
        <v>74844</v>
      </c>
      <c r="M47" s="20" t="n">
        <v>0.043</v>
      </c>
    </row>
    <row r="48" customFormat="1" s="20">
      <c r="A48" s="20" t="n">
        <v>4901</v>
      </c>
      <c r="B48" s="20" t="inlineStr">
        <is>
          <t>强身术</t>
        </is>
      </c>
      <c r="C48" s="20" t="n">
        <v>44</v>
      </c>
      <c r="G48" s="20" t="n">
        <v>0</v>
      </c>
      <c r="H48" s="20" t="n">
        <v>34</v>
      </c>
      <c r="J48" s="20" t="n">
        <v>24</v>
      </c>
      <c r="L48" s="20" t="n">
        <v>77448</v>
      </c>
      <c r="M48" s="20" t="n">
        <v>0.044</v>
      </c>
    </row>
    <row r="49" customFormat="1" s="20">
      <c r="A49" s="20" t="n">
        <v>4901</v>
      </c>
      <c r="B49" s="20" t="inlineStr">
        <is>
          <t>强身术</t>
        </is>
      </c>
      <c r="C49" s="20" t="n">
        <v>45</v>
      </c>
      <c r="G49" s="20" t="n">
        <v>0</v>
      </c>
      <c r="H49" s="20" t="n">
        <v>35</v>
      </c>
      <c r="J49" s="20" t="n">
        <v>30</v>
      </c>
      <c r="L49" s="20" t="n">
        <v>80682</v>
      </c>
      <c r="M49" s="20" t="n">
        <v>0.045</v>
      </c>
    </row>
    <row r="50" customFormat="1" s="20">
      <c r="A50" s="20" t="n">
        <v>4901</v>
      </c>
      <c r="B50" s="20" t="inlineStr">
        <is>
          <t>强身术</t>
        </is>
      </c>
      <c r="C50" s="20" t="n">
        <v>46</v>
      </c>
      <c r="G50" s="20" t="n">
        <v>0</v>
      </c>
      <c r="H50" s="20" t="n">
        <v>36</v>
      </c>
      <c r="J50" s="20" t="n">
        <v>36</v>
      </c>
      <c r="L50" s="20" t="n">
        <v>84624</v>
      </c>
      <c r="M50" s="20" t="n">
        <v>0.046</v>
      </c>
    </row>
    <row r="51" customFormat="1" s="20">
      <c r="A51" s="20" t="n">
        <v>4901</v>
      </c>
      <c r="B51" s="20" t="inlineStr">
        <is>
          <t>强身术</t>
        </is>
      </c>
      <c r="C51" s="20" t="n">
        <v>47</v>
      </c>
      <c r="G51" s="20" t="n">
        <v>0</v>
      </c>
      <c r="H51" s="20" t="n">
        <v>37</v>
      </c>
      <c r="J51" s="20" t="n">
        <v>42</v>
      </c>
      <c r="L51" s="20" t="n">
        <v>86856</v>
      </c>
      <c r="M51" s="20" t="n">
        <v>0.047</v>
      </c>
    </row>
    <row r="52" customFormat="1" s="20">
      <c r="A52" s="20" t="n">
        <v>4901</v>
      </c>
      <c r="B52" s="20" t="inlineStr">
        <is>
          <t>强身术</t>
        </is>
      </c>
      <c r="C52" s="20" t="n">
        <v>48</v>
      </c>
      <c r="G52" s="20" t="n">
        <v>0</v>
      </c>
      <c r="H52" s="20" t="n">
        <v>38</v>
      </c>
      <c r="J52" s="20" t="n">
        <v>48</v>
      </c>
      <c r="L52" s="20" t="n">
        <v>92292</v>
      </c>
      <c r="M52" s="20" t="n">
        <v>0.048</v>
      </c>
    </row>
    <row r="53" customFormat="1" s="20">
      <c r="A53" s="20" t="n">
        <v>4901</v>
      </c>
      <c r="B53" s="20" t="inlineStr">
        <is>
          <t>强身术</t>
        </is>
      </c>
      <c r="C53" s="20" t="n">
        <v>49</v>
      </c>
      <c r="G53" s="20" t="n">
        <v>0</v>
      </c>
      <c r="H53" s="20" t="n">
        <v>39</v>
      </c>
      <c r="J53" s="20" t="n">
        <v>54</v>
      </c>
      <c r="L53" s="20" t="n">
        <v>93372</v>
      </c>
      <c r="M53" s="20" t="n">
        <v>0.049</v>
      </c>
    </row>
    <row r="54" customFormat="1" s="20">
      <c r="A54" s="20" t="n">
        <v>4901</v>
      </c>
      <c r="B54" s="20" t="inlineStr">
        <is>
          <t>强身术</t>
        </is>
      </c>
      <c r="C54" s="20" t="n">
        <v>50</v>
      </c>
      <c r="G54" s="20" t="n">
        <v>0</v>
      </c>
      <c r="H54" s="20" t="n">
        <v>40</v>
      </c>
      <c r="J54" s="20" t="n">
        <v>60</v>
      </c>
      <c r="L54" s="20" t="n">
        <v>100254</v>
      </c>
      <c r="M54" s="20" t="n">
        <v>0.05</v>
      </c>
    </row>
    <row r="55" customFormat="1" s="20">
      <c r="A55" s="20" t="n">
        <v>4901</v>
      </c>
      <c r="B55" s="20" t="inlineStr">
        <is>
          <t>强身术</t>
        </is>
      </c>
      <c r="C55" s="20" t="n">
        <v>51</v>
      </c>
      <c r="G55" s="20" t="n">
        <v>0</v>
      </c>
      <c r="H55" s="20" t="n">
        <v>41</v>
      </c>
      <c r="J55" s="20" t="n">
        <v>66</v>
      </c>
      <c r="L55" s="20" t="n">
        <v>107502</v>
      </c>
      <c r="M55" s="20" t="n">
        <v>0.051</v>
      </c>
    </row>
    <row r="56" customFormat="1" s="20">
      <c r="A56" s="20" t="n">
        <v>4901</v>
      </c>
      <c r="B56" s="20" t="inlineStr">
        <is>
          <t>强身术</t>
        </is>
      </c>
      <c r="C56" s="20" t="n">
        <v>52</v>
      </c>
      <c r="G56" s="20" t="n">
        <v>0</v>
      </c>
      <c r="H56" s="20" t="n">
        <v>42</v>
      </c>
      <c r="J56" s="20" t="n">
        <v>72</v>
      </c>
      <c r="L56" s="20" t="n">
        <v>115140</v>
      </c>
      <c r="M56" s="20" t="n">
        <v>0.052</v>
      </c>
    </row>
    <row r="57" customFormat="1" s="20">
      <c r="A57" s="20" t="n">
        <v>4901</v>
      </c>
      <c r="B57" s="20" t="inlineStr">
        <is>
          <t>强身术</t>
        </is>
      </c>
      <c r="C57" s="20" t="n">
        <v>53</v>
      </c>
      <c r="G57" s="20" t="n">
        <v>0</v>
      </c>
      <c r="H57" s="20" t="n">
        <v>43</v>
      </c>
      <c r="J57" s="20" t="n">
        <v>78</v>
      </c>
      <c r="L57" s="20" t="n">
        <v>123174</v>
      </c>
      <c r="M57" s="20" t="n">
        <v>0.053</v>
      </c>
    </row>
    <row r="58" customFormat="1" s="20">
      <c r="A58" s="20" t="n">
        <v>4901</v>
      </c>
      <c r="B58" s="20" t="inlineStr">
        <is>
          <t>强身术</t>
        </is>
      </c>
      <c r="C58" s="20" t="n">
        <v>54</v>
      </c>
      <c r="G58" s="20" t="n">
        <v>0</v>
      </c>
      <c r="H58" s="20" t="n">
        <v>44</v>
      </c>
      <c r="J58" s="20" t="n">
        <v>84</v>
      </c>
      <c r="L58" s="20" t="n">
        <v>131616</v>
      </c>
      <c r="M58" s="20" t="n">
        <v>0.054</v>
      </c>
    </row>
    <row r="59" customFormat="1" s="20">
      <c r="A59" s="20" t="n">
        <v>4901</v>
      </c>
      <c r="B59" s="20" t="inlineStr">
        <is>
          <t>强身术</t>
        </is>
      </c>
      <c r="C59" s="20" t="n">
        <v>55</v>
      </c>
      <c r="G59" s="20" t="n">
        <v>0</v>
      </c>
      <c r="H59" s="20" t="n">
        <v>45</v>
      </c>
      <c r="J59" s="20" t="n">
        <v>90</v>
      </c>
      <c r="L59" s="20" t="n">
        <v>140484</v>
      </c>
      <c r="M59" s="20" t="n">
        <v>0.055</v>
      </c>
    </row>
    <row r="60" customFormat="1" s="20">
      <c r="A60" s="20" t="n">
        <v>4901</v>
      </c>
      <c r="B60" s="20" t="inlineStr">
        <is>
          <t>强身术</t>
        </is>
      </c>
      <c r="C60" s="20" t="n">
        <v>56</v>
      </c>
      <c r="G60" s="20" t="n">
        <v>0</v>
      </c>
      <c r="H60" s="20" t="n">
        <v>46</v>
      </c>
      <c r="J60" s="20" t="n">
        <v>96</v>
      </c>
      <c r="L60" s="20" t="n">
        <v>149796</v>
      </c>
      <c r="M60" s="20" t="n">
        <v>0.056</v>
      </c>
    </row>
    <row r="61" customFormat="1" s="20">
      <c r="A61" s="20" t="n">
        <v>4901</v>
      </c>
      <c r="B61" s="20" t="inlineStr">
        <is>
          <t>强身术</t>
        </is>
      </c>
      <c r="C61" s="20" t="n">
        <v>57</v>
      </c>
      <c r="G61" s="20" t="n">
        <v>0</v>
      </c>
      <c r="H61" s="20" t="n">
        <v>47</v>
      </c>
      <c r="J61" s="20" t="n">
        <v>102</v>
      </c>
      <c r="L61" s="20" t="n">
        <v>159558</v>
      </c>
      <c r="M61" s="20" t="n">
        <v>0.057</v>
      </c>
    </row>
    <row r="62" customFormat="1" s="20">
      <c r="A62" s="20" t="n">
        <v>4901</v>
      </c>
      <c r="B62" s="20" t="inlineStr">
        <is>
          <t>强身术</t>
        </is>
      </c>
      <c r="C62" s="20" t="n">
        <v>58</v>
      </c>
      <c r="G62" s="20" t="n">
        <v>0</v>
      </c>
      <c r="H62" s="20" t="n">
        <v>48</v>
      </c>
      <c r="J62" s="20" t="n">
        <v>108</v>
      </c>
      <c r="L62" s="20" t="n">
        <v>169788</v>
      </c>
      <c r="M62" s="20" t="n">
        <v>0.058</v>
      </c>
    </row>
    <row r="63" customFormat="1" s="20">
      <c r="A63" s="20" t="n">
        <v>4901</v>
      </c>
      <c r="B63" s="20" t="inlineStr">
        <is>
          <t>强身术</t>
        </is>
      </c>
      <c r="C63" s="20" t="n">
        <v>59</v>
      </c>
      <c r="G63" s="20" t="n">
        <v>0</v>
      </c>
      <c r="H63" s="20" t="n">
        <v>49</v>
      </c>
      <c r="J63" s="20" t="n">
        <v>114</v>
      </c>
      <c r="L63" s="20" t="n">
        <v>180504</v>
      </c>
      <c r="M63" s="20" t="n">
        <v>0.059</v>
      </c>
    </row>
    <row r="64" customFormat="1" s="20">
      <c r="A64" s="20" t="n">
        <v>4901</v>
      </c>
      <c r="B64" s="20" t="inlineStr">
        <is>
          <t>强身术</t>
        </is>
      </c>
      <c r="C64" s="20" t="n">
        <v>60</v>
      </c>
      <c r="G64" s="20" t="n">
        <v>0</v>
      </c>
      <c r="H64" s="20" t="n">
        <v>50</v>
      </c>
      <c r="J64" s="20" t="n">
        <v>120</v>
      </c>
      <c r="L64" s="20" t="n">
        <v>191712</v>
      </c>
      <c r="M64" s="20" t="n">
        <v>0.06</v>
      </c>
    </row>
    <row r="65" customFormat="1" s="20">
      <c r="A65" s="20" t="n">
        <v>4901</v>
      </c>
      <c r="B65" s="20" t="inlineStr">
        <is>
          <t>强身术</t>
        </is>
      </c>
      <c r="C65" s="20" t="n">
        <v>61</v>
      </c>
      <c r="G65" s="20" t="n">
        <v>1000</v>
      </c>
      <c r="H65" s="20" t="n">
        <v>51</v>
      </c>
      <c r="J65" s="20" t="n">
        <v>130</v>
      </c>
      <c r="L65" s="20" t="n">
        <v>203430</v>
      </c>
      <c r="M65" s="20" t="n">
        <v>0.061</v>
      </c>
    </row>
    <row r="66" customFormat="1" s="20">
      <c r="A66" s="20" t="n">
        <v>4901</v>
      </c>
      <c r="B66" s="20" t="inlineStr">
        <is>
          <t>强身术</t>
        </is>
      </c>
      <c r="C66" s="20" t="n">
        <v>62</v>
      </c>
      <c r="G66" s="20" t="n">
        <v>1500</v>
      </c>
      <c r="H66" s="20" t="n">
        <v>52</v>
      </c>
      <c r="J66" s="20" t="n">
        <v>140</v>
      </c>
      <c r="L66" s="20" t="n">
        <v>215676</v>
      </c>
      <c r="M66" s="20" t="n">
        <v>0.062</v>
      </c>
    </row>
    <row r="67" customFormat="1" s="20">
      <c r="A67" s="20" t="n">
        <v>4901</v>
      </c>
      <c r="B67" s="20" t="inlineStr">
        <is>
          <t>强身术</t>
        </is>
      </c>
      <c r="C67" s="20" t="n">
        <v>63</v>
      </c>
      <c r="G67" s="20" t="n">
        <v>2000</v>
      </c>
      <c r="H67" s="20" t="n">
        <v>53</v>
      </c>
      <c r="J67" s="20" t="n">
        <v>150</v>
      </c>
      <c r="L67" s="20" t="n">
        <v>228462</v>
      </c>
      <c r="M67" s="20" t="n">
        <v>0.063</v>
      </c>
    </row>
    <row r="68" customFormat="1" s="20">
      <c r="A68" s="20" t="n">
        <v>4901</v>
      </c>
      <c r="B68" s="20" t="inlineStr">
        <is>
          <t>强身术</t>
        </is>
      </c>
      <c r="C68" s="20" t="n">
        <v>64</v>
      </c>
      <c r="G68" s="20" t="n">
        <v>2500</v>
      </c>
      <c r="H68" s="20" t="n">
        <v>54</v>
      </c>
      <c r="J68" s="20" t="n">
        <v>160</v>
      </c>
      <c r="L68" s="20" t="n">
        <v>241812</v>
      </c>
      <c r="M68" s="20" t="n">
        <v>0.064</v>
      </c>
    </row>
    <row r="69" customFormat="1" s="20">
      <c r="A69" s="20" t="n">
        <v>4901</v>
      </c>
      <c r="B69" s="20" t="inlineStr">
        <is>
          <t>强身术</t>
        </is>
      </c>
      <c r="C69" s="20" t="n">
        <v>65</v>
      </c>
      <c r="G69" s="20" t="n">
        <v>3000</v>
      </c>
      <c r="H69" s="20" t="n">
        <v>55</v>
      </c>
      <c r="J69" s="20" t="n">
        <v>170</v>
      </c>
      <c r="L69" s="20" t="n">
        <v>255732</v>
      </c>
      <c r="M69" s="20" t="n">
        <v>0.065</v>
      </c>
    </row>
    <row r="70" customFormat="1" s="20">
      <c r="A70" s="20" t="n">
        <v>4901</v>
      </c>
      <c r="B70" s="20" t="inlineStr">
        <is>
          <t>强身术</t>
        </is>
      </c>
      <c r="C70" s="20" t="n">
        <v>66</v>
      </c>
      <c r="G70" s="20" t="n">
        <v>3500</v>
      </c>
      <c r="H70" s="20" t="n">
        <v>56</v>
      </c>
      <c r="J70" s="20" t="n">
        <v>180</v>
      </c>
      <c r="L70" s="20" t="n">
        <v>270246</v>
      </c>
      <c r="M70" s="20" t="n">
        <v>0.066</v>
      </c>
    </row>
    <row r="71" customFormat="1" s="20">
      <c r="A71" s="20" t="n">
        <v>4901</v>
      </c>
      <c r="B71" s="20" t="inlineStr">
        <is>
          <t>强身术</t>
        </is>
      </c>
      <c r="C71" s="20" t="n">
        <v>67</v>
      </c>
      <c r="G71" s="20" t="n">
        <v>4000</v>
      </c>
      <c r="H71" s="20" t="n">
        <v>57</v>
      </c>
      <c r="J71" s="20" t="n">
        <v>190</v>
      </c>
      <c r="L71" s="20" t="n">
        <v>285366</v>
      </c>
      <c r="M71" s="20" t="n">
        <v>0.067</v>
      </c>
    </row>
    <row r="72" customFormat="1" s="20">
      <c r="A72" s="20" t="n">
        <v>4901</v>
      </c>
      <c r="B72" s="20" t="inlineStr">
        <is>
          <t>强身术</t>
        </is>
      </c>
      <c r="C72" s="20" t="n">
        <v>68</v>
      </c>
      <c r="G72" s="20" t="n">
        <v>4500</v>
      </c>
      <c r="H72" s="20" t="n">
        <v>58</v>
      </c>
      <c r="J72" s="20" t="n">
        <v>200</v>
      </c>
      <c r="L72" s="20" t="n">
        <v>301110</v>
      </c>
      <c r="M72" s="20" t="n">
        <v>0.068</v>
      </c>
    </row>
    <row r="73" customFormat="1" s="20">
      <c r="A73" s="20" t="n">
        <v>4901</v>
      </c>
      <c r="B73" s="20" t="inlineStr">
        <is>
          <t>强身术</t>
        </is>
      </c>
      <c r="C73" s="20" t="n">
        <v>69</v>
      </c>
      <c r="G73" s="20" t="n">
        <v>5000</v>
      </c>
      <c r="H73" s="20" t="n">
        <v>59</v>
      </c>
      <c r="J73" s="20" t="n">
        <v>210</v>
      </c>
      <c r="L73" s="20" t="n">
        <v>317484</v>
      </c>
      <c r="M73" s="20" t="n">
        <v>0.06900000000000001</v>
      </c>
    </row>
    <row r="74" customFormat="1" s="20">
      <c r="A74" s="20" t="n">
        <v>4901</v>
      </c>
      <c r="B74" s="20" t="inlineStr">
        <is>
          <t>强身术</t>
        </is>
      </c>
      <c r="C74" s="20" t="n">
        <v>70</v>
      </c>
      <c r="G74" s="20" t="n">
        <v>5500</v>
      </c>
      <c r="H74" s="20" t="n">
        <v>60</v>
      </c>
      <c r="J74" s="20" t="n">
        <v>220</v>
      </c>
      <c r="L74" s="20" t="n">
        <v>334524</v>
      </c>
      <c r="M74" s="20" t="n">
        <v>0.07000000000000001</v>
      </c>
    </row>
    <row r="75" customFormat="1" s="20">
      <c r="A75" s="20" t="n">
        <v>4901</v>
      </c>
      <c r="B75" s="20" t="inlineStr">
        <is>
          <t>强身术</t>
        </is>
      </c>
      <c r="C75" s="20" t="n">
        <v>71</v>
      </c>
      <c r="G75" s="20" t="n">
        <v>6000</v>
      </c>
      <c r="H75" s="20" t="n">
        <v>61</v>
      </c>
      <c r="J75" s="20" t="n">
        <v>230</v>
      </c>
      <c r="L75" s="20" t="n">
        <v>352242</v>
      </c>
      <c r="M75" s="20" t="n">
        <v>0.07099999999999999</v>
      </c>
    </row>
    <row r="76" customFormat="1" s="20">
      <c r="A76" s="20" t="n">
        <v>4901</v>
      </c>
      <c r="B76" s="20" t="inlineStr">
        <is>
          <t>强身术</t>
        </is>
      </c>
      <c r="C76" s="20" t="n">
        <v>72</v>
      </c>
      <c r="G76" s="20" t="n">
        <v>6500</v>
      </c>
      <c r="H76" s="20" t="n">
        <v>62</v>
      </c>
      <c r="J76" s="20" t="n">
        <v>240</v>
      </c>
      <c r="L76" s="20" t="n">
        <v>370644</v>
      </c>
      <c r="M76" s="20" t="n">
        <v>0.07199999999999999</v>
      </c>
    </row>
    <row r="77" customFormat="1" s="20">
      <c r="A77" s="20" t="n">
        <v>4901</v>
      </c>
      <c r="B77" s="20" t="inlineStr">
        <is>
          <t>强身术</t>
        </is>
      </c>
      <c r="C77" s="20" t="n">
        <v>73</v>
      </c>
      <c r="G77" s="20" t="n">
        <v>7000</v>
      </c>
      <c r="H77" s="20" t="n">
        <v>63</v>
      </c>
      <c r="J77" s="20" t="n">
        <v>250</v>
      </c>
      <c r="L77" s="20" t="n">
        <v>389760</v>
      </c>
      <c r="M77" s="20" t="n">
        <v>0.073</v>
      </c>
    </row>
    <row r="78" customFormat="1" s="20">
      <c r="A78" s="20" t="n">
        <v>4901</v>
      </c>
      <c r="B78" s="20" t="inlineStr">
        <is>
          <t>强身术</t>
        </is>
      </c>
      <c r="C78" s="20" t="n">
        <v>74</v>
      </c>
      <c r="G78" s="20" t="n">
        <v>7500</v>
      </c>
      <c r="H78" s="20" t="n">
        <v>64</v>
      </c>
      <c r="J78" s="20" t="n">
        <v>260</v>
      </c>
      <c r="L78" s="20" t="n">
        <v>409596</v>
      </c>
      <c r="M78" s="20" t="n">
        <v>0.074</v>
      </c>
    </row>
    <row r="79" customFormat="1" s="20">
      <c r="A79" s="20" t="n">
        <v>4901</v>
      </c>
      <c r="B79" s="20" t="inlineStr">
        <is>
          <t>强身术</t>
        </is>
      </c>
      <c r="C79" s="20" t="n">
        <v>75</v>
      </c>
      <c r="G79" s="20" t="n">
        <v>8000</v>
      </c>
      <c r="H79" s="20" t="n">
        <v>65</v>
      </c>
      <c r="J79" s="20" t="n">
        <v>270</v>
      </c>
      <c r="L79" s="20" t="n">
        <v>430182</v>
      </c>
      <c r="M79" s="20" t="n">
        <v>0.075</v>
      </c>
    </row>
    <row r="80" customFormat="1" s="20">
      <c r="A80" s="20" t="n">
        <v>4901</v>
      </c>
      <c r="B80" s="20" t="inlineStr">
        <is>
          <t>强身术</t>
        </is>
      </c>
      <c r="C80" s="20" t="n">
        <v>76</v>
      </c>
      <c r="G80" s="20" t="n">
        <v>8500</v>
      </c>
      <c r="H80" s="20" t="n">
        <v>66</v>
      </c>
      <c r="J80" s="20" t="n">
        <v>280</v>
      </c>
      <c r="L80" s="20" t="n">
        <v>451536</v>
      </c>
      <c r="M80" s="20" t="n">
        <v>0.076</v>
      </c>
    </row>
    <row r="81" customFormat="1" s="20">
      <c r="A81" s="20" t="n">
        <v>4901</v>
      </c>
      <c r="B81" s="20" t="inlineStr">
        <is>
          <t>强身术</t>
        </is>
      </c>
      <c r="C81" s="20" t="n">
        <v>77</v>
      </c>
      <c r="G81" s="20" t="n">
        <v>9000</v>
      </c>
      <c r="H81" s="20" t="n">
        <v>67</v>
      </c>
      <c r="J81" s="20" t="n">
        <v>290</v>
      </c>
      <c r="L81" s="20" t="n">
        <v>473664</v>
      </c>
      <c r="M81" s="20" t="n">
        <v>0.077</v>
      </c>
    </row>
    <row r="82" customFormat="1" s="20">
      <c r="A82" s="20" t="n">
        <v>4901</v>
      </c>
      <c r="B82" s="20" t="inlineStr">
        <is>
          <t>强身术</t>
        </is>
      </c>
      <c r="C82" s="20" t="n">
        <v>78</v>
      </c>
      <c r="G82" s="20" t="n">
        <v>9500</v>
      </c>
      <c r="H82" s="20" t="n">
        <v>68</v>
      </c>
      <c r="J82" s="20" t="n">
        <v>300</v>
      </c>
      <c r="L82" s="20" t="n">
        <v>496596</v>
      </c>
      <c r="M82" s="20" t="n">
        <v>0.078</v>
      </c>
    </row>
    <row r="83" customFormat="1" s="20">
      <c r="A83" s="20" t="n">
        <v>4901</v>
      </c>
      <c r="B83" s="20" t="inlineStr">
        <is>
          <t>强身术</t>
        </is>
      </c>
      <c r="C83" s="20" t="n">
        <v>79</v>
      </c>
      <c r="G83" s="20" t="n">
        <v>10000</v>
      </c>
      <c r="H83" s="20" t="n">
        <v>69</v>
      </c>
      <c r="J83" s="20" t="n">
        <v>310</v>
      </c>
      <c r="L83" s="20" t="n">
        <v>520344</v>
      </c>
      <c r="M83" s="20" t="n">
        <v>0.079</v>
      </c>
    </row>
    <row r="84" customFormat="1" s="20">
      <c r="A84" s="20" t="n">
        <v>4901</v>
      </c>
      <c r="B84" s="20" t="inlineStr">
        <is>
          <t>强身术</t>
        </is>
      </c>
      <c r="C84" s="20" t="n">
        <v>80</v>
      </c>
      <c r="G84" s="20" t="n">
        <v>10500</v>
      </c>
      <c r="H84" s="20" t="n">
        <v>70</v>
      </c>
      <c r="J84" s="20" t="n">
        <v>330</v>
      </c>
      <c r="L84" s="20" t="n">
        <v>544938</v>
      </c>
      <c r="M84" s="20" t="n">
        <v>0.08</v>
      </c>
    </row>
    <row r="85" customFormat="1" s="20">
      <c r="A85" s="20" t="n">
        <v>4901</v>
      </c>
      <c r="B85" s="20" t="inlineStr">
        <is>
          <t>强身术</t>
        </is>
      </c>
      <c r="C85" s="20" t="n">
        <v>81</v>
      </c>
      <c r="G85" s="20" t="n">
        <v>11000</v>
      </c>
      <c r="H85" s="20" t="n">
        <v>71</v>
      </c>
      <c r="J85" s="20" t="n">
        <v>350</v>
      </c>
      <c r="L85" s="20" t="n">
        <v>570390</v>
      </c>
      <c r="M85" s="20" t="n">
        <v>0.081</v>
      </c>
    </row>
    <row r="86" customFormat="1" s="20">
      <c r="A86" s="20" t="n">
        <v>4901</v>
      </c>
      <c r="B86" s="20" t="inlineStr">
        <is>
          <t>强身术</t>
        </is>
      </c>
      <c r="C86" s="20" t="n">
        <v>82</v>
      </c>
      <c r="G86" s="20" t="n">
        <v>11500</v>
      </c>
      <c r="H86" s="20" t="n">
        <v>72</v>
      </c>
      <c r="J86" s="20" t="n">
        <v>370</v>
      </c>
      <c r="L86" s="20" t="n">
        <v>596712</v>
      </c>
      <c r="M86" s="20" t="n">
        <v>0.082</v>
      </c>
    </row>
    <row r="87" customFormat="1" s="20">
      <c r="A87" s="20" t="n">
        <v>4901</v>
      </c>
      <c r="B87" s="20" t="inlineStr">
        <is>
          <t>强身术</t>
        </is>
      </c>
      <c r="C87" s="20" t="n">
        <v>83</v>
      </c>
      <c r="G87" s="20" t="n">
        <v>12000</v>
      </c>
      <c r="H87" s="20" t="n">
        <v>73</v>
      </c>
      <c r="J87" s="20" t="n">
        <v>390</v>
      </c>
      <c r="L87" s="20" t="n">
        <v>623946</v>
      </c>
      <c r="M87" s="20" t="n">
        <v>0.083</v>
      </c>
    </row>
    <row r="88" customFormat="1" s="20">
      <c r="A88" s="20" t="n">
        <v>4901</v>
      </c>
      <c r="B88" s="20" t="inlineStr">
        <is>
          <t>强身术</t>
        </is>
      </c>
      <c r="C88" s="20" t="n">
        <v>84</v>
      </c>
      <c r="G88" s="20" t="n">
        <v>12500</v>
      </c>
      <c r="H88" s="20" t="n">
        <v>74</v>
      </c>
      <c r="J88" s="20" t="n">
        <v>410</v>
      </c>
      <c r="L88" s="20" t="n">
        <v>652086</v>
      </c>
      <c r="M88" s="20" t="n">
        <v>0.08400000000000001</v>
      </c>
    </row>
    <row r="89" customFormat="1" s="20">
      <c r="A89" s="20" t="n">
        <v>4901</v>
      </c>
      <c r="B89" s="20" t="inlineStr">
        <is>
          <t>强身术</t>
        </is>
      </c>
      <c r="C89" s="20" t="n">
        <v>85</v>
      </c>
      <c r="G89" s="20" t="n">
        <v>13000</v>
      </c>
      <c r="H89" s="20" t="n">
        <v>75</v>
      </c>
      <c r="J89" s="20" t="n">
        <v>430</v>
      </c>
      <c r="L89" s="20" t="n">
        <v>681168</v>
      </c>
      <c r="M89" s="20" t="n">
        <v>0.08500000000000001</v>
      </c>
    </row>
    <row r="90" customFormat="1" s="20">
      <c r="A90" s="20" t="n">
        <v>4901</v>
      </c>
      <c r="B90" s="20" t="inlineStr">
        <is>
          <t>强身术</t>
        </is>
      </c>
      <c r="C90" s="20" t="n">
        <v>86</v>
      </c>
      <c r="G90" s="20" t="n">
        <v>13500</v>
      </c>
      <c r="H90" s="20" t="n">
        <v>76</v>
      </c>
      <c r="J90" s="20" t="n">
        <v>450</v>
      </c>
      <c r="L90" s="20" t="n">
        <v>711210</v>
      </c>
      <c r="M90" s="20" t="n">
        <v>0.08599999999999999</v>
      </c>
    </row>
    <row r="91" customFormat="1" s="20">
      <c r="A91" s="20" t="n">
        <v>4901</v>
      </c>
      <c r="B91" s="20" t="inlineStr">
        <is>
          <t>强身术</t>
        </is>
      </c>
      <c r="C91" s="20" t="n">
        <v>87</v>
      </c>
      <c r="G91" s="20" t="n">
        <v>14000</v>
      </c>
      <c r="H91" s="20" t="n">
        <v>77</v>
      </c>
      <c r="J91" s="20" t="n">
        <v>470</v>
      </c>
      <c r="L91" s="20" t="n">
        <v>742230</v>
      </c>
      <c r="M91" s="20" t="n">
        <v>0.08699999999999999</v>
      </c>
    </row>
    <row r="92" customFormat="1" s="20">
      <c r="A92" s="20" t="n">
        <v>4901</v>
      </c>
      <c r="B92" s="20" t="inlineStr">
        <is>
          <t>强身术</t>
        </is>
      </c>
      <c r="C92" s="20" t="n">
        <v>88</v>
      </c>
      <c r="G92" s="20" t="n">
        <v>14500</v>
      </c>
      <c r="H92" s="20" t="n">
        <v>78</v>
      </c>
      <c r="J92" s="20" t="n">
        <v>490</v>
      </c>
      <c r="L92" s="20" t="n">
        <v>774252</v>
      </c>
      <c r="M92" s="20" t="n">
        <v>0.08799999999999999</v>
      </c>
    </row>
    <row r="93" customFormat="1" s="20">
      <c r="A93" s="20" t="n">
        <v>4901</v>
      </c>
      <c r="B93" s="20" t="inlineStr">
        <is>
          <t>强身术</t>
        </is>
      </c>
      <c r="C93" s="20" t="n">
        <v>89</v>
      </c>
      <c r="G93" s="20" t="n">
        <v>15000</v>
      </c>
      <c r="H93" s="20" t="n">
        <v>79</v>
      </c>
      <c r="J93" s="20" t="n">
        <v>510</v>
      </c>
      <c r="L93" s="20" t="n">
        <v>807300</v>
      </c>
      <c r="M93" s="20" t="n">
        <v>0.089</v>
      </c>
    </row>
    <row r="94" customFormat="1" s="20">
      <c r="A94" s="20" t="n">
        <v>4901</v>
      </c>
      <c r="B94" s="20" t="inlineStr">
        <is>
          <t>强身术</t>
        </is>
      </c>
      <c r="C94" s="20" t="n">
        <v>90</v>
      </c>
      <c r="G94" s="20" t="n">
        <v>15500</v>
      </c>
      <c r="H94" s="20" t="n">
        <v>80</v>
      </c>
      <c r="J94" s="20" t="n">
        <v>530</v>
      </c>
      <c r="L94" s="20" t="n">
        <v>841386</v>
      </c>
      <c r="M94" s="20" t="n">
        <v>0.09</v>
      </c>
    </row>
    <row r="95" customFormat="1" s="20">
      <c r="A95" s="20" t="n">
        <v>4901</v>
      </c>
      <c r="B95" s="20" t="inlineStr">
        <is>
          <t>强身术</t>
        </is>
      </c>
      <c r="C95" s="20" t="n">
        <v>91</v>
      </c>
      <c r="G95" s="20" t="n">
        <v>16000</v>
      </c>
      <c r="H95" s="20" t="n">
        <v>81</v>
      </c>
      <c r="J95" s="20" t="n">
        <v>550</v>
      </c>
      <c r="L95" s="20" t="n">
        <v>876534</v>
      </c>
      <c r="M95" s="20" t="n">
        <v>0.091</v>
      </c>
    </row>
    <row r="96" customFormat="1" s="20">
      <c r="A96" s="20" t="n">
        <v>4901</v>
      </c>
      <c r="B96" s="20" t="inlineStr">
        <is>
          <t>强身术</t>
        </is>
      </c>
      <c r="C96" s="20" t="n">
        <v>92</v>
      </c>
      <c r="G96" s="20" t="n">
        <v>16500</v>
      </c>
      <c r="H96" s="20" t="n">
        <v>82</v>
      </c>
      <c r="J96" s="20" t="n">
        <v>570</v>
      </c>
      <c r="L96" s="20" t="n">
        <v>912774</v>
      </c>
      <c r="M96" s="20" t="n">
        <v>0.092</v>
      </c>
    </row>
    <row r="97" customFormat="1" s="20">
      <c r="A97" s="20" t="n">
        <v>4901</v>
      </c>
      <c r="B97" s="20" t="inlineStr">
        <is>
          <t>强身术</t>
        </is>
      </c>
      <c r="C97" s="20" t="n">
        <v>93</v>
      </c>
      <c r="G97" s="20" t="n">
        <v>17000</v>
      </c>
      <c r="H97" s="20" t="n">
        <v>83</v>
      </c>
      <c r="J97" s="20" t="n">
        <v>590</v>
      </c>
      <c r="L97" s="20" t="n">
        <v>950124</v>
      </c>
      <c r="M97" s="20" t="n">
        <v>0.093</v>
      </c>
    </row>
    <row r="98" customFormat="1" s="20">
      <c r="A98" s="20" t="n">
        <v>4901</v>
      </c>
      <c r="B98" s="20" t="inlineStr">
        <is>
          <t>强身术</t>
        </is>
      </c>
      <c r="C98" s="20" t="n">
        <v>94</v>
      </c>
      <c r="G98" s="20" t="n">
        <v>17500</v>
      </c>
      <c r="H98" s="20" t="n">
        <v>84</v>
      </c>
      <c r="J98" s="20" t="n">
        <v>610</v>
      </c>
      <c r="L98" s="20" t="n">
        <v>988596</v>
      </c>
      <c r="M98" s="20" t="n">
        <v>0.094</v>
      </c>
    </row>
    <row r="99" customFormat="1" s="20">
      <c r="A99" s="20" t="n">
        <v>4901</v>
      </c>
      <c r="B99" s="20" t="inlineStr">
        <is>
          <t>强身术</t>
        </is>
      </c>
      <c r="C99" s="20" t="n">
        <v>95</v>
      </c>
      <c r="G99" s="20" t="n">
        <v>18000</v>
      </c>
      <c r="H99" s="20" t="n">
        <v>85</v>
      </c>
      <c r="J99" s="20" t="n">
        <v>630</v>
      </c>
      <c r="L99" s="20" t="n">
        <v>1028232</v>
      </c>
      <c r="M99" s="20" t="n">
        <v>0.095</v>
      </c>
    </row>
    <row r="100" customFormat="1" s="20">
      <c r="A100" s="20" t="n">
        <v>4901</v>
      </c>
      <c r="B100" s="20" t="inlineStr">
        <is>
          <t>强身术</t>
        </is>
      </c>
      <c r="C100" s="20" t="n">
        <v>96</v>
      </c>
      <c r="G100" s="20" t="n">
        <v>18500</v>
      </c>
      <c r="H100" s="20" t="n">
        <v>86</v>
      </c>
      <c r="J100" s="20" t="n">
        <v>650</v>
      </c>
      <c r="L100" s="20" t="n">
        <v>1069044</v>
      </c>
      <c r="M100" s="20" t="n">
        <v>0.096</v>
      </c>
    </row>
    <row r="101" customFormat="1" s="20">
      <c r="A101" s="20" t="n">
        <v>4901</v>
      </c>
      <c r="B101" s="20" t="inlineStr">
        <is>
          <t>强身术</t>
        </is>
      </c>
      <c r="C101" s="20" t="n">
        <v>97</v>
      </c>
      <c r="G101" s="20" t="n">
        <v>19000</v>
      </c>
      <c r="H101" s="20" t="n">
        <v>87</v>
      </c>
      <c r="J101" s="20" t="n">
        <v>670</v>
      </c>
      <c r="L101" s="20" t="n">
        <v>1111050</v>
      </c>
      <c r="M101" s="20" t="n">
        <v>0.097</v>
      </c>
    </row>
    <row r="102" customFormat="1" s="20">
      <c r="A102" s="20" t="n">
        <v>4901</v>
      </c>
      <c r="B102" s="20" t="inlineStr">
        <is>
          <t>强身术</t>
        </is>
      </c>
      <c r="C102" s="20" t="n">
        <v>98</v>
      </c>
      <c r="G102" s="20" t="n">
        <v>19500</v>
      </c>
      <c r="H102" s="20" t="n">
        <v>88</v>
      </c>
      <c r="J102" s="20" t="n">
        <v>690</v>
      </c>
      <c r="L102" s="20" t="n">
        <v>1154280</v>
      </c>
      <c r="M102" s="20" t="n">
        <v>0.098</v>
      </c>
    </row>
    <row r="103" customFormat="1" s="20">
      <c r="A103" s="20" t="n">
        <v>4901</v>
      </c>
      <c r="B103" s="20" t="inlineStr">
        <is>
          <t>强身术</t>
        </is>
      </c>
      <c r="C103" s="20" t="n">
        <v>99</v>
      </c>
      <c r="G103" s="20" t="n">
        <v>20000</v>
      </c>
      <c r="H103" s="20" t="n">
        <v>89</v>
      </c>
      <c r="J103" s="20" t="n">
        <v>710</v>
      </c>
      <c r="L103" s="20" t="n">
        <v>1198752</v>
      </c>
      <c r="M103" s="20" t="n">
        <v>0.099</v>
      </c>
    </row>
    <row r="104" customFormat="1" s="20">
      <c r="A104" s="20" t="n">
        <v>4901</v>
      </c>
      <c r="B104" s="20" t="inlineStr">
        <is>
          <t>强身术</t>
        </is>
      </c>
      <c r="C104" s="20" t="n">
        <v>100</v>
      </c>
      <c r="G104" s="20" t="n">
        <v>20500</v>
      </c>
      <c r="H104" s="20" t="n">
        <v>90</v>
      </c>
      <c r="J104" s="20" t="n">
        <v>730</v>
      </c>
      <c r="L104" s="20" t="n">
        <v>1244502</v>
      </c>
      <c r="M104" s="20" t="n">
        <v>0.1</v>
      </c>
    </row>
    <row r="105" customFormat="1" s="21">
      <c r="A105" s="21" t="n">
        <v>4902</v>
      </c>
      <c r="B105" s="21" t="inlineStr">
        <is>
          <t>冥想</t>
        </is>
      </c>
      <c r="C105" s="21" t="n">
        <v>1</v>
      </c>
      <c r="D105" s="21" t="inlineStr">
        <is>
          <t>冥想</t>
        </is>
      </c>
      <c r="E105" s="21" t="inlineStr">
        <is>
          <t>通过冥想凝聚强大的精神力量，修习可以提高法力，每学习一级可以提高一定的魔法上限。</t>
        </is>
      </c>
      <c r="F105" s="21" t="inlineStr">
        <is>
          <t>meditation</t>
        </is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customFormat="1" s="21">
      <c r="A106" s="21" t="n">
        <v>4902</v>
      </c>
      <c r="B106" s="21" t="inlineStr">
        <is>
          <t>冥想</t>
        </is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customFormat="1" s="21">
      <c r="A107" s="21" t="n">
        <v>4902</v>
      </c>
      <c r="B107" s="21" t="inlineStr">
        <is>
          <t>冥想</t>
        </is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customFormat="1" s="21">
      <c r="A108" s="21" t="n">
        <v>4902</v>
      </c>
      <c r="B108" s="21" t="inlineStr">
        <is>
          <t>冥想</t>
        </is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customFormat="1" s="21">
      <c r="A109" s="21" t="n">
        <v>4902</v>
      </c>
      <c r="B109" s="21" t="inlineStr">
        <is>
          <t>冥想</t>
        </is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customFormat="1" s="21">
      <c r="A110" s="21" t="n">
        <v>4902</v>
      </c>
      <c r="B110" s="21" t="inlineStr">
        <is>
          <t>冥想</t>
        </is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customFormat="1" s="21">
      <c r="A111" s="21" t="n">
        <v>4902</v>
      </c>
      <c r="B111" s="21" t="inlineStr">
        <is>
          <t>冥想</t>
        </is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customFormat="1" s="21">
      <c r="A112" s="21" t="n">
        <v>4902</v>
      </c>
      <c r="B112" s="21" t="inlineStr">
        <is>
          <t>冥想</t>
        </is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customFormat="1" s="21">
      <c r="A113" s="21" t="n">
        <v>4902</v>
      </c>
      <c r="B113" s="21" t="inlineStr">
        <is>
          <t>冥想</t>
        </is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0.008999999999999999</v>
      </c>
    </row>
    <row r="114" customFormat="1" s="21">
      <c r="A114" s="21" t="n">
        <v>4902</v>
      </c>
      <c r="B114" s="21" t="inlineStr">
        <is>
          <t>冥想</t>
        </is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customFormat="1" s="21">
      <c r="A115" s="21" t="n">
        <v>4902</v>
      </c>
      <c r="B115" s="21" t="inlineStr">
        <is>
          <t>冥想</t>
        </is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customFormat="1" s="21">
      <c r="A116" s="21" t="n">
        <v>4902</v>
      </c>
      <c r="B116" s="21" t="inlineStr">
        <is>
          <t>冥想</t>
        </is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customFormat="1" s="21">
      <c r="A117" s="21" t="n">
        <v>4902</v>
      </c>
      <c r="B117" s="21" t="inlineStr">
        <is>
          <t>冥想</t>
        </is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customFormat="1" s="21">
      <c r="A118" s="21" t="n">
        <v>4902</v>
      </c>
      <c r="B118" s="21" t="inlineStr">
        <is>
          <t>冥想</t>
        </is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customFormat="1" s="21">
      <c r="A119" s="21" t="n">
        <v>4902</v>
      </c>
      <c r="B119" s="21" t="inlineStr">
        <is>
          <t>冥想</t>
        </is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customFormat="1" s="21">
      <c r="A120" s="21" t="n">
        <v>4902</v>
      </c>
      <c r="B120" s="21" t="inlineStr">
        <is>
          <t>冥想</t>
        </is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customFormat="1" s="21">
      <c r="A121" s="21" t="n">
        <v>4902</v>
      </c>
      <c r="B121" s="21" t="inlineStr">
        <is>
          <t>冥想</t>
        </is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customFormat="1" s="21">
      <c r="A122" s="21" t="n">
        <v>4902</v>
      </c>
      <c r="B122" s="21" t="inlineStr">
        <is>
          <t>冥想</t>
        </is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customFormat="1" s="21">
      <c r="A123" s="21" t="n">
        <v>4902</v>
      </c>
      <c r="B123" s="21" t="inlineStr">
        <is>
          <t>冥想</t>
        </is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customFormat="1" s="21">
      <c r="A124" s="21" t="n">
        <v>4902</v>
      </c>
      <c r="B124" s="21" t="inlineStr">
        <is>
          <t>冥想</t>
        </is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customFormat="1" s="21">
      <c r="A125" s="21" t="n">
        <v>4902</v>
      </c>
      <c r="B125" s="21" t="inlineStr">
        <is>
          <t>冥想</t>
        </is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customFormat="1" s="21">
      <c r="A126" s="21" t="n">
        <v>4902</v>
      </c>
      <c r="B126" s="21" t="inlineStr">
        <is>
          <t>冥想</t>
        </is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customFormat="1" s="21">
      <c r="A127" s="21" t="n">
        <v>4902</v>
      </c>
      <c r="B127" s="21" t="inlineStr">
        <is>
          <t>冥想</t>
        </is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customFormat="1" s="21">
      <c r="A128" s="21" t="n">
        <v>4902</v>
      </c>
      <c r="B128" s="21" t="inlineStr">
        <is>
          <t>冥想</t>
        </is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customFormat="1" s="21">
      <c r="A129" s="21" t="n">
        <v>4902</v>
      </c>
      <c r="B129" s="21" t="inlineStr">
        <is>
          <t>冥想</t>
        </is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customFormat="1" s="21">
      <c r="A130" s="21" t="n">
        <v>4902</v>
      </c>
      <c r="B130" s="21" t="inlineStr">
        <is>
          <t>冥想</t>
        </is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customFormat="1" s="21">
      <c r="A131" s="21" t="n">
        <v>4902</v>
      </c>
      <c r="B131" s="21" t="inlineStr">
        <is>
          <t>冥想</t>
        </is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customFormat="1" s="21">
      <c r="A132" s="21" t="n">
        <v>4902</v>
      </c>
      <c r="B132" s="21" t="inlineStr">
        <is>
          <t>冥想</t>
        </is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customFormat="1" s="21">
      <c r="A133" s="21" t="n">
        <v>4902</v>
      </c>
      <c r="B133" s="21" t="inlineStr">
        <is>
          <t>冥想</t>
        </is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customFormat="1" s="21">
      <c r="A134" s="21" t="n">
        <v>4902</v>
      </c>
      <c r="B134" s="21" t="inlineStr">
        <is>
          <t>冥想</t>
        </is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customFormat="1" s="21">
      <c r="A135" s="21" t="n">
        <v>4902</v>
      </c>
      <c r="B135" s="21" t="inlineStr">
        <is>
          <t>冥想</t>
        </is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customFormat="1" s="21">
      <c r="A136" s="21" t="n">
        <v>4902</v>
      </c>
      <c r="B136" s="21" t="inlineStr">
        <is>
          <t>冥想</t>
        </is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customFormat="1" s="21">
      <c r="A137" s="21" t="n">
        <v>4902</v>
      </c>
      <c r="B137" s="21" t="inlineStr">
        <is>
          <t>冥想</t>
        </is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customFormat="1" s="21">
      <c r="A138" s="21" t="n">
        <v>4902</v>
      </c>
      <c r="B138" s="21" t="inlineStr">
        <is>
          <t>冥想</t>
        </is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customFormat="1" s="21">
      <c r="A139" s="21" t="n">
        <v>4902</v>
      </c>
      <c r="B139" s="21" t="inlineStr">
        <is>
          <t>冥想</t>
        </is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customFormat="1" s="21">
      <c r="A140" s="21" t="n">
        <v>4902</v>
      </c>
      <c r="B140" s="21" t="inlineStr">
        <is>
          <t>冥想</t>
        </is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customFormat="1" s="21">
      <c r="A141" s="21" t="n">
        <v>4902</v>
      </c>
      <c r="B141" s="21" t="inlineStr">
        <is>
          <t>冥想</t>
        </is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customFormat="1" s="21">
      <c r="A142" s="21" t="n">
        <v>4902</v>
      </c>
      <c r="B142" s="21" t="inlineStr">
        <is>
          <t>冥想</t>
        </is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customFormat="1" s="21">
      <c r="A143" s="21" t="n">
        <v>4902</v>
      </c>
      <c r="B143" s="21" t="inlineStr">
        <is>
          <t>冥想</t>
        </is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customFormat="1" s="21">
      <c r="A144" s="21" t="n">
        <v>4902</v>
      </c>
      <c r="B144" s="21" t="inlineStr">
        <is>
          <t>冥想</t>
        </is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customFormat="1" s="21">
      <c r="A145" s="21" t="n">
        <v>4902</v>
      </c>
      <c r="B145" s="21" t="inlineStr">
        <is>
          <t>冥想</t>
        </is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customFormat="1" s="21">
      <c r="A146" s="21" t="n">
        <v>4902</v>
      </c>
      <c r="B146" s="21" t="inlineStr">
        <is>
          <t>冥想</t>
        </is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customFormat="1" s="21">
      <c r="A147" s="21" t="n">
        <v>4902</v>
      </c>
      <c r="B147" s="21" t="inlineStr">
        <is>
          <t>冥想</t>
        </is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customFormat="1" s="21">
      <c r="A148" s="21" t="n">
        <v>4902</v>
      </c>
      <c r="B148" s="21" t="inlineStr">
        <is>
          <t>冥想</t>
        </is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customFormat="1" s="21">
      <c r="A149" s="21" t="n">
        <v>4902</v>
      </c>
      <c r="B149" s="21" t="inlineStr">
        <is>
          <t>冥想</t>
        </is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customFormat="1" s="21">
      <c r="A150" s="21" t="n">
        <v>4902</v>
      </c>
      <c r="B150" s="21" t="inlineStr">
        <is>
          <t>冥想</t>
        </is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customFormat="1" s="21">
      <c r="A151" s="21" t="n">
        <v>4902</v>
      </c>
      <c r="B151" s="21" t="inlineStr">
        <is>
          <t>冥想</t>
        </is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customFormat="1" s="21">
      <c r="A152" s="21" t="n">
        <v>4902</v>
      </c>
      <c r="B152" s="21" t="inlineStr">
        <is>
          <t>冥想</t>
        </is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customFormat="1" s="21">
      <c r="A153" s="21" t="n">
        <v>4902</v>
      </c>
      <c r="B153" s="21" t="inlineStr">
        <is>
          <t>冥想</t>
        </is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customFormat="1" s="21">
      <c r="A154" s="21" t="n">
        <v>4902</v>
      </c>
      <c r="B154" s="21" t="inlineStr">
        <is>
          <t>冥想</t>
        </is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customFormat="1" s="21">
      <c r="A155" s="21" t="n">
        <v>4902</v>
      </c>
      <c r="B155" s="21" t="inlineStr">
        <is>
          <t>冥想</t>
        </is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customFormat="1" s="21">
      <c r="A156" s="21" t="n">
        <v>4902</v>
      </c>
      <c r="B156" s="21" t="inlineStr">
        <is>
          <t>冥想</t>
        </is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customFormat="1" s="21">
      <c r="A157" s="21" t="n">
        <v>4902</v>
      </c>
      <c r="B157" s="21" t="inlineStr">
        <is>
          <t>冥想</t>
        </is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customFormat="1" s="21">
      <c r="A158" s="21" t="n">
        <v>4902</v>
      </c>
      <c r="B158" s="21" t="inlineStr">
        <is>
          <t>冥想</t>
        </is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customFormat="1" s="21">
      <c r="A159" s="21" t="n">
        <v>4902</v>
      </c>
      <c r="B159" s="21" t="inlineStr">
        <is>
          <t>冥想</t>
        </is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customFormat="1" s="21">
      <c r="A160" s="21" t="n">
        <v>4902</v>
      </c>
      <c r="B160" s="21" t="inlineStr">
        <is>
          <t>冥想</t>
        </is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customFormat="1" s="21">
      <c r="A161" s="21" t="n">
        <v>4902</v>
      </c>
      <c r="B161" s="21" t="inlineStr">
        <is>
          <t>冥想</t>
        </is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customFormat="1" s="21">
      <c r="A162" s="21" t="n">
        <v>4902</v>
      </c>
      <c r="B162" s="21" t="inlineStr">
        <is>
          <t>冥想</t>
        </is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customFormat="1" s="21">
      <c r="A163" s="21" t="n">
        <v>4902</v>
      </c>
      <c r="B163" s="21" t="inlineStr">
        <is>
          <t>冥想</t>
        </is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customFormat="1" s="21">
      <c r="A164" s="21" t="n">
        <v>4902</v>
      </c>
      <c r="B164" s="21" t="inlineStr">
        <is>
          <t>冥想</t>
        </is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customFormat="1" s="21">
      <c r="A165" s="21" t="n">
        <v>4902</v>
      </c>
      <c r="B165" s="21" t="inlineStr">
        <is>
          <t>冥想</t>
        </is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customFormat="1" s="21">
      <c r="A166" s="21" t="n">
        <v>4902</v>
      </c>
      <c r="B166" s="21" t="inlineStr">
        <is>
          <t>冥想</t>
        </is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customFormat="1" s="21">
      <c r="A167" s="21" t="n">
        <v>4902</v>
      </c>
      <c r="B167" s="21" t="inlineStr">
        <is>
          <t>冥想</t>
        </is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customFormat="1" s="21">
      <c r="A168" s="21" t="n">
        <v>4902</v>
      </c>
      <c r="B168" s="21" t="inlineStr">
        <is>
          <t>冥想</t>
        </is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customFormat="1" s="21">
      <c r="A169" s="21" t="n">
        <v>4902</v>
      </c>
      <c r="B169" s="21" t="inlineStr">
        <is>
          <t>冥想</t>
        </is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customFormat="1" s="21">
      <c r="A170" s="21" t="n">
        <v>4902</v>
      </c>
      <c r="B170" s="21" t="inlineStr">
        <is>
          <t>冥想</t>
        </is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customFormat="1" s="21">
      <c r="A171" s="21" t="n">
        <v>4902</v>
      </c>
      <c r="B171" s="21" t="inlineStr">
        <is>
          <t>冥想</t>
        </is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customFormat="1" s="21">
      <c r="A172" s="21" t="n">
        <v>4902</v>
      </c>
      <c r="B172" s="21" t="inlineStr">
        <is>
          <t>冥想</t>
        </is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customFormat="1" s="21">
      <c r="A173" s="21" t="n">
        <v>4902</v>
      </c>
      <c r="B173" s="21" t="inlineStr">
        <is>
          <t>冥想</t>
        </is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0.06900000000000001</v>
      </c>
    </row>
    <row r="174" customFormat="1" s="21">
      <c r="A174" s="21" t="n">
        <v>4902</v>
      </c>
      <c r="B174" s="21" t="inlineStr">
        <is>
          <t>冥想</t>
        </is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0.07000000000000001</v>
      </c>
    </row>
    <row r="175" customFormat="1" s="21">
      <c r="A175" s="21" t="n">
        <v>4902</v>
      </c>
      <c r="B175" s="21" t="inlineStr">
        <is>
          <t>冥想</t>
        </is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0.07099999999999999</v>
      </c>
    </row>
    <row r="176" customFormat="1" s="21">
      <c r="A176" s="21" t="n">
        <v>4902</v>
      </c>
      <c r="B176" s="21" t="inlineStr">
        <is>
          <t>冥想</t>
        </is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0.07199999999999999</v>
      </c>
    </row>
    <row r="177" customFormat="1" s="21">
      <c r="A177" s="21" t="n">
        <v>4902</v>
      </c>
      <c r="B177" s="21" t="inlineStr">
        <is>
          <t>冥想</t>
        </is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customFormat="1" s="21">
      <c r="A178" s="21" t="n">
        <v>4902</v>
      </c>
      <c r="B178" s="21" t="inlineStr">
        <is>
          <t>冥想</t>
        </is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customFormat="1" s="21">
      <c r="A179" s="21" t="n">
        <v>4902</v>
      </c>
      <c r="B179" s="21" t="inlineStr">
        <is>
          <t>冥想</t>
        </is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customFormat="1" s="21">
      <c r="A180" s="21" t="n">
        <v>4902</v>
      </c>
      <c r="B180" s="21" t="inlineStr">
        <is>
          <t>冥想</t>
        </is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customFormat="1" s="21">
      <c r="A181" s="21" t="n">
        <v>4902</v>
      </c>
      <c r="B181" s="21" t="inlineStr">
        <is>
          <t>冥想</t>
        </is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customFormat="1" s="21">
      <c r="A182" s="21" t="n">
        <v>4902</v>
      </c>
      <c r="B182" s="21" t="inlineStr">
        <is>
          <t>冥想</t>
        </is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customFormat="1" s="21">
      <c r="A183" s="21" t="n">
        <v>4902</v>
      </c>
      <c r="B183" s="21" t="inlineStr">
        <is>
          <t>冥想</t>
        </is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customFormat="1" s="21">
      <c r="A184" s="21" t="n">
        <v>4902</v>
      </c>
      <c r="B184" s="21" t="inlineStr">
        <is>
          <t>冥想</t>
        </is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customFormat="1" s="21">
      <c r="A185" s="21" t="n">
        <v>4902</v>
      </c>
      <c r="B185" s="21" t="inlineStr">
        <is>
          <t>冥想</t>
        </is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customFormat="1" s="21">
      <c r="A186" s="21" t="n">
        <v>4902</v>
      </c>
      <c r="B186" s="21" t="inlineStr">
        <is>
          <t>冥想</t>
        </is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customFormat="1" s="21">
      <c r="A187" s="21" t="n">
        <v>4902</v>
      </c>
      <c r="B187" s="21" t="inlineStr">
        <is>
          <t>冥想</t>
        </is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customFormat="1" s="21">
      <c r="A188" s="21" t="n">
        <v>4902</v>
      </c>
      <c r="B188" s="21" t="inlineStr">
        <is>
          <t>冥想</t>
        </is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0.08400000000000001</v>
      </c>
    </row>
    <row r="189" customFormat="1" s="21">
      <c r="A189" s="21" t="n">
        <v>4902</v>
      </c>
      <c r="B189" s="21" t="inlineStr">
        <is>
          <t>冥想</t>
        </is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0.08500000000000001</v>
      </c>
    </row>
    <row r="190" customFormat="1" s="21">
      <c r="A190" s="21" t="n">
        <v>4902</v>
      </c>
      <c r="B190" s="21" t="inlineStr">
        <is>
          <t>冥想</t>
        </is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0.08599999999999999</v>
      </c>
    </row>
    <row r="191" customFormat="1" s="21">
      <c r="A191" s="21" t="n">
        <v>4902</v>
      </c>
      <c r="B191" s="21" t="inlineStr">
        <is>
          <t>冥想</t>
        </is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0.08699999999999999</v>
      </c>
    </row>
    <row r="192" customFormat="1" s="21">
      <c r="A192" s="21" t="n">
        <v>4902</v>
      </c>
      <c r="B192" s="21" t="inlineStr">
        <is>
          <t>冥想</t>
        </is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0.08799999999999999</v>
      </c>
    </row>
    <row r="193" customFormat="1" s="21">
      <c r="A193" s="21" t="n">
        <v>4902</v>
      </c>
      <c r="B193" s="21" t="inlineStr">
        <is>
          <t>冥想</t>
        </is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customFormat="1" s="21">
      <c r="A194" s="21" t="n">
        <v>4902</v>
      </c>
      <c r="B194" s="21" t="inlineStr">
        <is>
          <t>冥想</t>
        </is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customFormat="1" s="21">
      <c r="A195" s="21" t="n">
        <v>4902</v>
      </c>
      <c r="B195" s="21" t="inlineStr">
        <is>
          <t>冥想</t>
        </is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customFormat="1" s="21">
      <c r="A196" s="21" t="n">
        <v>4902</v>
      </c>
      <c r="B196" s="21" t="inlineStr">
        <is>
          <t>冥想</t>
        </is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customFormat="1" s="21">
      <c r="A197" s="21" t="n">
        <v>4902</v>
      </c>
      <c r="B197" s="21" t="inlineStr">
        <is>
          <t>冥想</t>
        </is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customFormat="1" s="21">
      <c r="A198" s="21" t="n">
        <v>4902</v>
      </c>
      <c r="B198" s="21" t="inlineStr">
        <is>
          <t>冥想</t>
        </is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customFormat="1" s="21">
      <c r="A199" s="21" t="n">
        <v>4902</v>
      </c>
      <c r="B199" s="21" t="inlineStr">
        <is>
          <t>冥想</t>
        </is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customFormat="1" s="21">
      <c r="A200" s="21" t="n">
        <v>4902</v>
      </c>
      <c r="B200" s="21" t="inlineStr">
        <is>
          <t>冥想</t>
        </is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customFormat="1" s="21">
      <c r="A201" s="21" t="n">
        <v>4902</v>
      </c>
      <c r="B201" s="21" t="inlineStr">
        <is>
          <t>冥想</t>
        </is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customFormat="1" s="21">
      <c r="A202" s="21" t="n">
        <v>4902</v>
      </c>
      <c r="B202" s="21" t="inlineStr">
        <is>
          <t>冥想</t>
        </is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customFormat="1" s="21">
      <c r="A203" s="21" t="n">
        <v>4902</v>
      </c>
      <c r="B203" s="21" t="inlineStr">
        <is>
          <t>冥想</t>
        </is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customFormat="1" s="21">
      <c r="A204" s="21" t="n">
        <v>4902</v>
      </c>
      <c r="B204" s="21" t="inlineStr">
        <is>
          <t>冥想</t>
        </is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customFormat="1" s="19">
      <c r="A205" s="19" t="n">
        <v>4903</v>
      </c>
      <c r="B205" s="19" t="inlineStr">
        <is>
          <t>打造技巧</t>
        </is>
      </c>
      <c r="C205" s="19" t="n">
        <v>1</v>
      </c>
      <c r="D205" s="19" t="inlineStr">
        <is>
          <t>打造技巧</t>
        </is>
      </c>
      <c r="E205" s="19" t="inlineStr">
        <is>
          <t>铸造名家欧冶子传下的技能，可以提高打造武器的能力。</t>
        </is>
      </c>
      <c r="F205" s="19" t="inlineStr">
        <is>
          <t>blacksmith</t>
        </is>
      </c>
      <c r="G205" s="19" t="n">
        <v>0</v>
      </c>
      <c r="H205" s="19" t="n">
        <v>0</v>
      </c>
      <c r="J205" s="19" t="n">
        <v>0</v>
      </c>
      <c r="L205" s="19" t="n">
        <v>100</v>
      </c>
    </row>
    <row r="206" customFormat="1" s="19">
      <c r="A206" s="19" t="n">
        <v>4903</v>
      </c>
      <c r="B206" s="19" t="inlineStr">
        <is>
          <t>打造技巧</t>
        </is>
      </c>
      <c r="C206" s="19" t="n">
        <v>2</v>
      </c>
      <c r="G206" s="19" t="n">
        <v>0</v>
      </c>
      <c r="H206" s="19" t="n">
        <v>0</v>
      </c>
      <c r="J206" s="19" t="n">
        <v>0</v>
      </c>
      <c r="L206" s="19" t="n">
        <v>180</v>
      </c>
    </row>
    <row r="207" customFormat="1" s="19">
      <c r="A207" s="19" t="n">
        <v>4903</v>
      </c>
      <c r="B207" s="19" t="inlineStr">
        <is>
          <t>打造技巧</t>
        </is>
      </c>
      <c r="C207" s="19" t="n">
        <v>3</v>
      </c>
      <c r="G207" s="19" t="n">
        <v>0</v>
      </c>
      <c r="H207" s="19" t="n">
        <v>0</v>
      </c>
      <c r="J207" s="19" t="n">
        <v>0</v>
      </c>
      <c r="L207" s="19" t="n">
        <v>280</v>
      </c>
    </row>
    <row r="208" customFormat="1" s="19">
      <c r="A208" s="19" t="n">
        <v>4903</v>
      </c>
      <c r="B208" s="19" t="inlineStr">
        <is>
          <t>打造技巧</t>
        </is>
      </c>
      <c r="C208" s="19" t="n">
        <v>4</v>
      </c>
      <c r="G208" s="19" t="n">
        <v>0</v>
      </c>
      <c r="H208" s="19" t="n">
        <v>0</v>
      </c>
      <c r="J208" s="19" t="n">
        <v>0</v>
      </c>
      <c r="L208" s="19" t="n">
        <v>440</v>
      </c>
    </row>
    <row r="209" customFormat="1" s="19">
      <c r="A209" s="19" t="n">
        <v>4903</v>
      </c>
      <c r="B209" s="19" t="inlineStr">
        <is>
          <t>打造技巧</t>
        </is>
      </c>
      <c r="C209" s="19" t="n">
        <v>5</v>
      </c>
      <c r="G209" s="19" t="n">
        <v>0</v>
      </c>
      <c r="H209" s="19" t="n">
        <v>0</v>
      </c>
      <c r="J209" s="19" t="n">
        <v>0</v>
      </c>
      <c r="L209" s="19" t="n">
        <v>580</v>
      </c>
    </row>
    <row r="210" customFormat="1" s="19">
      <c r="A210" s="19" t="n">
        <v>4903</v>
      </c>
      <c r="B210" s="19" t="inlineStr">
        <is>
          <t>打造技巧</t>
        </is>
      </c>
      <c r="C210" s="19" t="n">
        <v>6</v>
      </c>
      <c r="G210" s="19" t="n">
        <v>0</v>
      </c>
      <c r="H210" s="19" t="n">
        <v>0</v>
      </c>
      <c r="J210" s="19" t="n">
        <v>0</v>
      </c>
      <c r="L210" s="19" t="n">
        <v>780</v>
      </c>
    </row>
    <row r="211" customFormat="1" s="19">
      <c r="A211" s="19" t="n">
        <v>4903</v>
      </c>
      <c r="B211" s="19" t="inlineStr">
        <is>
          <t>打造技巧</t>
        </is>
      </c>
      <c r="C211" s="19" t="n">
        <v>7</v>
      </c>
      <c r="G211" s="19" t="n">
        <v>0</v>
      </c>
      <c r="H211" s="19" t="n">
        <v>0</v>
      </c>
      <c r="J211" s="19" t="n">
        <v>0</v>
      </c>
      <c r="L211" s="19" t="n">
        <v>1020</v>
      </c>
    </row>
    <row r="212" customFormat="1" s="19">
      <c r="A212" s="19" t="n">
        <v>4903</v>
      </c>
      <c r="B212" s="19" t="inlineStr">
        <is>
          <t>打造技巧</t>
        </is>
      </c>
      <c r="C212" s="19" t="n">
        <v>8</v>
      </c>
      <c r="G212" s="19" t="n">
        <v>0</v>
      </c>
      <c r="H212" s="19" t="n">
        <v>0</v>
      </c>
      <c r="J212" s="19" t="n">
        <v>0</v>
      </c>
      <c r="L212" s="19" t="n">
        <v>1320</v>
      </c>
    </row>
    <row r="213" customFormat="1" s="19">
      <c r="A213" s="19" t="n">
        <v>4903</v>
      </c>
      <c r="B213" s="19" t="inlineStr">
        <is>
          <t>打造技巧</t>
        </is>
      </c>
      <c r="C213" s="19" t="n">
        <v>9</v>
      </c>
      <c r="G213" s="19" t="n">
        <v>0</v>
      </c>
      <c r="H213" s="19" t="n">
        <v>0</v>
      </c>
      <c r="J213" s="19" t="n">
        <v>0</v>
      </c>
      <c r="L213" s="19" t="n">
        <v>1700</v>
      </c>
    </row>
    <row r="214" customFormat="1" s="19">
      <c r="A214" s="19" t="n">
        <v>4903</v>
      </c>
      <c r="B214" s="19" t="inlineStr">
        <is>
          <t>打造技巧</t>
        </is>
      </c>
      <c r="C214" s="19" t="n">
        <v>10</v>
      </c>
      <c r="G214" s="19" t="n">
        <v>0</v>
      </c>
      <c r="H214" s="19" t="n">
        <v>0</v>
      </c>
      <c r="J214" s="19" t="n">
        <v>0</v>
      </c>
      <c r="L214" s="19" t="n">
        <v>2120</v>
      </c>
    </row>
    <row r="215" customFormat="1" s="19">
      <c r="A215" s="19" t="n">
        <v>4903</v>
      </c>
      <c r="B215" s="19" t="inlineStr">
        <is>
          <t>打造技巧</t>
        </is>
      </c>
      <c r="C215" s="19" t="n">
        <v>11</v>
      </c>
      <c r="G215" s="19" t="n">
        <v>0</v>
      </c>
      <c r="H215" s="19" t="n">
        <v>1</v>
      </c>
      <c r="J215" s="19" t="n">
        <v>0</v>
      </c>
      <c r="L215" s="19" t="n">
        <v>2680</v>
      </c>
    </row>
    <row r="216" customFormat="1" s="19">
      <c r="A216" s="19" t="n">
        <v>4903</v>
      </c>
      <c r="B216" s="19" t="inlineStr">
        <is>
          <t>打造技巧</t>
        </is>
      </c>
      <c r="C216" s="19" t="n">
        <v>12</v>
      </c>
      <c r="G216" s="19" t="n">
        <v>0</v>
      </c>
      <c r="H216" s="19" t="n">
        <v>2</v>
      </c>
      <c r="J216" s="19" t="n">
        <v>0</v>
      </c>
      <c r="L216" s="19" t="n">
        <v>3320</v>
      </c>
    </row>
    <row r="217" customFormat="1" s="19">
      <c r="A217" s="19" t="n">
        <v>4903</v>
      </c>
      <c r="B217" s="19" t="inlineStr">
        <is>
          <t>打造技巧</t>
        </is>
      </c>
      <c r="C217" s="19" t="n">
        <v>13</v>
      </c>
      <c r="G217" s="19" t="n">
        <v>0</v>
      </c>
      <c r="H217" s="19" t="n">
        <v>3</v>
      </c>
      <c r="J217" s="19" t="n">
        <v>0</v>
      </c>
      <c r="L217" s="19" t="n">
        <v>4080</v>
      </c>
    </row>
    <row r="218" customFormat="1" s="19">
      <c r="A218" s="19" t="n">
        <v>4903</v>
      </c>
      <c r="B218" s="19" t="inlineStr">
        <is>
          <t>打造技巧</t>
        </is>
      </c>
      <c r="C218" s="19" t="n">
        <v>14</v>
      </c>
      <c r="G218" s="19" t="n">
        <v>0</v>
      </c>
      <c r="H218" s="19" t="n">
        <v>4</v>
      </c>
      <c r="J218" s="19" t="n">
        <v>0</v>
      </c>
      <c r="L218" s="19" t="n">
        <v>4980</v>
      </c>
    </row>
    <row r="219" customFormat="1" s="19">
      <c r="A219" s="19" t="n">
        <v>4903</v>
      </c>
      <c r="B219" s="19" t="inlineStr">
        <is>
          <t>打造技巧</t>
        </is>
      </c>
      <c r="C219" s="19" t="n">
        <v>15</v>
      </c>
      <c r="G219" s="19" t="n">
        <v>0</v>
      </c>
      <c r="H219" s="19" t="n">
        <v>5</v>
      </c>
      <c r="J219" s="19" t="n">
        <v>0</v>
      </c>
      <c r="L219" s="19" t="n">
        <v>6020</v>
      </c>
    </row>
    <row r="220" customFormat="1" s="19">
      <c r="A220" s="19" t="n">
        <v>4903</v>
      </c>
      <c r="B220" s="19" t="inlineStr">
        <is>
          <t>打造技巧</t>
        </is>
      </c>
      <c r="C220" s="19" t="n">
        <v>16</v>
      </c>
      <c r="G220" s="19" t="n">
        <v>0</v>
      </c>
      <c r="H220" s="19" t="n">
        <v>6</v>
      </c>
      <c r="J220" s="19" t="n">
        <v>0</v>
      </c>
      <c r="L220" s="19" t="n">
        <v>7232</v>
      </c>
    </row>
    <row r="221" customFormat="1" s="19">
      <c r="A221" s="19" t="n">
        <v>4903</v>
      </c>
      <c r="B221" s="19" t="inlineStr">
        <is>
          <t>打造技巧</t>
        </is>
      </c>
      <c r="C221" s="19" t="n">
        <v>17</v>
      </c>
      <c r="G221" s="19" t="n">
        <v>0</v>
      </c>
      <c r="H221" s="19" t="n">
        <v>7</v>
      </c>
      <c r="J221" s="19" t="n">
        <v>0</v>
      </c>
      <c r="L221" s="19" t="n">
        <v>7240</v>
      </c>
    </row>
    <row r="222" customFormat="1" s="19">
      <c r="A222" s="19" t="n">
        <v>4903</v>
      </c>
      <c r="B222" s="19" t="inlineStr">
        <is>
          <t>打造技巧</t>
        </is>
      </c>
      <c r="C222" s="19" t="n">
        <v>18</v>
      </c>
      <c r="G222" s="19" t="n">
        <v>0</v>
      </c>
      <c r="H222" s="19" t="n">
        <v>8</v>
      </c>
      <c r="J222" s="19" t="n">
        <v>0</v>
      </c>
      <c r="L222" s="19" t="n">
        <v>8620</v>
      </c>
    </row>
    <row r="223" customFormat="1" s="19">
      <c r="A223" s="19" t="n">
        <v>4903</v>
      </c>
      <c r="B223" s="19" t="inlineStr">
        <is>
          <t>打造技巧</t>
        </is>
      </c>
      <c r="C223" s="19" t="n">
        <v>19</v>
      </c>
      <c r="G223" s="19" t="n">
        <v>0</v>
      </c>
      <c r="H223" s="19" t="n">
        <v>9</v>
      </c>
      <c r="J223" s="19" t="n">
        <v>0</v>
      </c>
      <c r="L223" s="19" t="n">
        <v>8752</v>
      </c>
    </row>
    <row r="224" customFormat="1" s="19">
      <c r="A224" s="19" t="n">
        <v>4903</v>
      </c>
      <c r="B224" s="19" t="inlineStr">
        <is>
          <t>打造技巧</t>
        </is>
      </c>
      <c r="C224" s="19" t="n">
        <v>20</v>
      </c>
      <c r="G224" s="19" t="n">
        <v>0</v>
      </c>
      <c r="H224" s="19" t="n">
        <v>10</v>
      </c>
      <c r="J224" s="19" t="n">
        <v>0</v>
      </c>
      <c r="L224" s="19" t="n">
        <v>10032</v>
      </c>
    </row>
    <row r="225" customFormat="1" s="19">
      <c r="A225" s="19" t="n">
        <v>4903</v>
      </c>
      <c r="B225" s="19" t="inlineStr">
        <is>
          <t>打造技巧</t>
        </is>
      </c>
      <c r="C225" s="19" t="n">
        <v>21</v>
      </c>
      <c r="G225" s="19" t="n">
        <v>0</v>
      </c>
      <c r="H225" s="19" t="n">
        <v>11</v>
      </c>
      <c r="J225" s="19" t="n">
        <v>1</v>
      </c>
      <c r="L225" s="19" t="n">
        <v>10220</v>
      </c>
    </row>
    <row r="226" customFormat="1" s="19">
      <c r="A226" s="19" t="n">
        <v>4903</v>
      </c>
      <c r="B226" s="19" t="inlineStr">
        <is>
          <t>打造技巧</t>
        </is>
      </c>
      <c r="C226" s="19" t="n">
        <v>22</v>
      </c>
      <c r="G226" s="19" t="n">
        <v>0</v>
      </c>
      <c r="H226" s="19" t="n">
        <v>12</v>
      </c>
      <c r="J226" s="19" t="n">
        <v>1</v>
      </c>
      <c r="L226" s="19" t="n">
        <v>11456</v>
      </c>
    </row>
    <row r="227" customFormat="1" s="19">
      <c r="A227" s="19" t="n">
        <v>4903</v>
      </c>
      <c r="B227" s="19" t="inlineStr">
        <is>
          <t>打造技巧</t>
        </is>
      </c>
      <c r="C227" s="19" t="n">
        <v>23</v>
      </c>
      <c r="G227" s="19" t="n">
        <v>0</v>
      </c>
      <c r="H227" s="19" t="n">
        <v>13</v>
      </c>
      <c r="J227" s="19" t="n">
        <v>1</v>
      </c>
      <c r="L227" s="19" t="n">
        <v>12060</v>
      </c>
    </row>
    <row r="228" customFormat="1" s="19">
      <c r="A228" s="19" t="n">
        <v>4903</v>
      </c>
      <c r="B228" s="19" t="inlineStr">
        <is>
          <t>打造技巧</t>
        </is>
      </c>
      <c r="C228" s="19" t="n">
        <v>24</v>
      </c>
      <c r="G228" s="19" t="n">
        <v>0</v>
      </c>
      <c r="H228" s="19" t="n">
        <v>14</v>
      </c>
      <c r="J228" s="19" t="n">
        <v>1</v>
      </c>
      <c r="L228" s="19" t="n">
        <v>13024</v>
      </c>
    </row>
    <row r="229" customFormat="1" s="19">
      <c r="A229" s="19" t="n">
        <v>4903</v>
      </c>
      <c r="B229" s="19" t="inlineStr">
        <is>
          <t>打造技巧</t>
        </is>
      </c>
      <c r="C229" s="19" t="n">
        <v>25</v>
      </c>
      <c r="G229" s="19" t="n">
        <v>0</v>
      </c>
      <c r="H229" s="19" t="n">
        <v>15</v>
      </c>
      <c r="J229" s="19" t="n">
        <v>1</v>
      </c>
      <c r="L229" s="19" t="n">
        <v>14080</v>
      </c>
    </row>
    <row r="230" customFormat="1" s="19">
      <c r="A230" s="19" t="n">
        <v>4903</v>
      </c>
      <c r="B230" s="19" t="inlineStr">
        <is>
          <t>打造技巧</t>
        </is>
      </c>
      <c r="C230" s="19" t="n">
        <v>26</v>
      </c>
      <c r="G230" s="19" t="n">
        <v>0</v>
      </c>
      <c r="H230" s="19" t="n">
        <v>16</v>
      </c>
      <c r="J230" s="19" t="n">
        <v>1</v>
      </c>
      <c r="L230" s="19" t="n">
        <v>14752</v>
      </c>
    </row>
    <row r="231" customFormat="1" s="19">
      <c r="A231" s="19" t="n">
        <v>4903</v>
      </c>
      <c r="B231" s="19" t="inlineStr">
        <is>
          <t>打造技巧</t>
        </is>
      </c>
      <c r="C231" s="19" t="n">
        <v>27</v>
      </c>
      <c r="G231" s="19" t="n">
        <v>0</v>
      </c>
      <c r="H231" s="19" t="n">
        <v>17</v>
      </c>
      <c r="J231" s="19" t="n">
        <v>1</v>
      </c>
      <c r="L231" s="19" t="n">
        <v>16648</v>
      </c>
    </row>
    <row r="232" customFormat="1" s="19">
      <c r="A232" s="19" t="n">
        <v>4903</v>
      </c>
      <c r="B232" s="19" t="inlineStr">
        <is>
          <t>打造技巧</t>
        </is>
      </c>
      <c r="C232" s="19" t="n">
        <v>28</v>
      </c>
      <c r="G232" s="19" t="n">
        <v>0</v>
      </c>
      <c r="H232" s="19" t="n">
        <v>18</v>
      </c>
      <c r="J232" s="19" t="n">
        <v>1</v>
      </c>
      <c r="L232" s="19" t="n">
        <v>18712</v>
      </c>
    </row>
    <row r="233" customFormat="1" s="19">
      <c r="A233" s="19" t="n">
        <v>4903</v>
      </c>
      <c r="B233" s="19" t="inlineStr">
        <is>
          <t>打造技巧</t>
        </is>
      </c>
      <c r="C233" s="19" t="n">
        <v>29</v>
      </c>
      <c r="G233" s="19" t="n">
        <v>0</v>
      </c>
      <c r="H233" s="19" t="n">
        <v>19</v>
      </c>
      <c r="J233" s="19" t="n">
        <v>1</v>
      </c>
      <c r="L233" s="19" t="n">
        <v>20976</v>
      </c>
    </row>
    <row r="234" customFormat="1" s="19">
      <c r="A234" s="19" t="n">
        <v>4903</v>
      </c>
      <c r="B234" s="19" t="inlineStr">
        <is>
          <t>打造技巧</t>
        </is>
      </c>
      <c r="C234" s="19" t="n">
        <v>30</v>
      </c>
      <c r="G234" s="19" t="n">
        <v>0</v>
      </c>
      <c r="H234" s="19" t="n">
        <v>20</v>
      </c>
      <c r="J234" s="19" t="n">
        <v>1</v>
      </c>
      <c r="L234" s="19" t="n">
        <v>23432</v>
      </c>
    </row>
    <row r="235" customFormat="1" s="19">
      <c r="A235" s="19" t="n">
        <v>4903</v>
      </c>
      <c r="B235" s="19" t="inlineStr">
        <is>
          <t>打造技巧</t>
        </is>
      </c>
      <c r="C235" s="19" t="n">
        <v>31</v>
      </c>
      <c r="G235" s="19" t="n">
        <v>0</v>
      </c>
      <c r="H235" s="19" t="n">
        <v>21</v>
      </c>
      <c r="J235" s="19" t="n">
        <v>1</v>
      </c>
      <c r="L235" s="19" t="n">
        <v>26096</v>
      </c>
    </row>
    <row r="236" customFormat="1" s="19">
      <c r="A236" s="19" t="n">
        <v>4903</v>
      </c>
      <c r="B236" s="19" t="inlineStr">
        <is>
          <t>打造技巧</t>
        </is>
      </c>
      <c r="C236" s="19" t="n">
        <v>32</v>
      </c>
      <c r="G236" s="19" t="n">
        <v>0</v>
      </c>
      <c r="H236" s="19" t="n">
        <v>22</v>
      </c>
      <c r="J236" s="19" t="n">
        <v>1</v>
      </c>
      <c r="L236" s="19" t="n">
        <v>28976</v>
      </c>
    </row>
    <row r="237" customFormat="1" s="19">
      <c r="A237" s="19" t="n">
        <v>4903</v>
      </c>
      <c r="B237" s="19" t="inlineStr">
        <is>
          <t>打造技巧</t>
        </is>
      </c>
      <c r="C237" s="19" t="n">
        <v>33</v>
      </c>
      <c r="G237" s="19" t="n">
        <v>0</v>
      </c>
      <c r="H237" s="19" t="n">
        <v>23</v>
      </c>
      <c r="J237" s="19" t="n">
        <v>1</v>
      </c>
      <c r="L237" s="19" t="n">
        <v>32104</v>
      </c>
    </row>
    <row r="238" customFormat="1" s="19">
      <c r="A238" s="19" t="n">
        <v>4903</v>
      </c>
      <c r="B238" s="19" t="inlineStr">
        <is>
          <t>打造技巧</t>
        </is>
      </c>
      <c r="C238" s="19" t="n">
        <v>34</v>
      </c>
      <c r="G238" s="19" t="n">
        <v>0</v>
      </c>
      <c r="H238" s="19" t="n">
        <v>24</v>
      </c>
      <c r="J238" s="19" t="n">
        <v>1</v>
      </c>
      <c r="L238" s="19" t="n">
        <v>33488</v>
      </c>
    </row>
    <row r="239" customFormat="1" s="19">
      <c r="A239" s="19" t="n">
        <v>4903</v>
      </c>
      <c r="B239" s="19" t="inlineStr">
        <is>
          <t>打造技巧</t>
        </is>
      </c>
      <c r="C239" s="19" t="n">
        <v>35</v>
      </c>
      <c r="G239" s="19" t="n">
        <v>0</v>
      </c>
      <c r="H239" s="19" t="n">
        <v>25</v>
      </c>
      <c r="J239" s="19" t="n">
        <v>1</v>
      </c>
      <c r="L239" s="19" t="n">
        <v>35464</v>
      </c>
    </row>
    <row r="240" customFormat="1" s="19">
      <c r="A240" s="19" t="n">
        <v>4903</v>
      </c>
      <c r="B240" s="19" t="inlineStr">
        <is>
          <t>打造技巧</t>
        </is>
      </c>
      <c r="C240" s="19" t="n">
        <v>36</v>
      </c>
      <c r="G240" s="19" t="n">
        <v>0</v>
      </c>
      <c r="H240" s="19" t="n">
        <v>26</v>
      </c>
      <c r="J240" s="19" t="n">
        <v>1</v>
      </c>
      <c r="L240" s="19" t="n">
        <v>36384</v>
      </c>
    </row>
    <row r="241" customFormat="1" s="19">
      <c r="A241" s="19" t="n">
        <v>4903</v>
      </c>
      <c r="B241" s="19" t="inlineStr">
        <is>
          <t>打造技巧</t>
        </is>
      </c>
      <c r="C241" s="19" t="n">
        <v>37</v>
      </c>
      <c r="G241" s="19" t="n">
        <v>0</v>
      </c>
      <c r="H241" s="19" t="n">
        <v>27</v>
      </c>
      <c r="J241" s="19" t="n">
        <v>1</v>
      </c>
      <c r="L241" s="19" t="n">
        <v>39096</v>
      </c>
    </row>
    <row r="242" customFormat="1" s="19">
      <c r="A242" s="19" t="n">
        <v>4903</v>
      </c>
      <c r="B242" s="19" t="inlineStr">
        <is>
          <t>打造技巧</t>
        </is>
      </c>
      <c r="C242" s="19" t="n">
        <v>38</v>
      </c>
      <c r="G242" s="19" t="n">
        <v>0</v>
      </c>
      <c r="H242" s="19" t="n">
        <v>28</v>
      </c>
      <c r="J242" s="19" t="n">
        <v>1</v>
      </c>
      <c r="L242" s="19" t="n">
        <v>39468</v>
      </c>
    </row>
    <row r="243" customFormat="1" s="19">
      <c r="A243" s="19" t="n">
        <v>4903</v>
      </c>
      <c r="B243" s="19" t="inlineStr">
        <is>
          <t>打造技巧</t>
        </is>
      </c>
      <c r="C243" s="19" t="n">
        <v>39</v>
      </c>
      <c r="G243" s="19" t="n">
        <v>0</v>
      </c>
      <c r="H243" s="19" t="n">
        <v>29</v>
      </c>
      <c r="J243" s="19" t="n">
        <v>1</v>
      </c>
      <c r="L243" s="19" t="n">
        <v>42744</v>
      </c>
    </row>
    <row r="244" customFormat="1" s="19">
      <c r="A244" s="19" t="n">
        <v>4903</v>
      </c>
      <c r="B244" s="19" t="inlineStr">
        <is>
          <t>打造技巧</t>
        </is>
      </c>
      <c r="C244" s="19" t="n">
        <v>40</v>
      </c>
      <c r="G244" s="19" t="n">
        <v>0</v>
      </c>
      <c r="H244" s="19" t="n">
        <v>30</v>
      </c>
      <c r="J244" s="19" t="n">
        <v>1</v>
      </c>
      <c r="L244" s="19" t="n">
        <v>42936</v>
      </c>
    </row>
    <row r="245" customFormat="1" s="19">
      <c r="A245" s="19" t="n">
        <v>4903</v>
      </c>
      <c r="B245" s="19" t="inlineStr">
        <is>
          <t>打造技巧</t>
        </is>
      </c>
      <c r="C245" s="19" t="n">
        <v>41</v>
      </c>
      <c r="G245" s="19" t="n">
        <v>0</v>
      </c>
      <c r="H245" s="19" t="n">
        <v>31</v>
      </c>
      <c r="J245" s="19" t="n">
        <v>3</v>
      </c>
      <c r="L245" s="19" t="n">
        <v>46216</v>
      </c>
    </row>
    <row r="246" customFormat="1" s="19">
      <c r="A246" s="19" t="n">
        <v>4903</v>
      </c>
      <c r="B246" s="19" t="inlineStr">
        <is>
          <t>打造技巧</t>
        </is>
      </c>
      <c r="C246" s="19" t="n">
        <v>42</v>
      </c>
      <c r="G246" s="19" t="n">
        <v>0</v>
      </c>
      <c r="H246" s="19" t="n">
        <v>32</v>
      </c>
      <c r="J246" s="19" t="n">
        <v>6</v>
      </c>
      <c r="L246" s="19" t="n">
        <v>47168</v>
      </c>
    </row>
    <row r="247" customFormat="1" s="19">
      <c r="A247" s="19" t="n">
        <v>4903</v>
      </c>
      <c r="B247" s="19" t="inlineStr">
        <is>
          <t>打造技巧</t>
        </is>
      </c>
      <c r="C247" s="19" t="n">
        <v>43</v>
      </c>
      <c r="G247" s="19" t="n">
        <v>0</v>
      </c>
      <c r="H247" s="19" t="n">
        <v>33</v>
      </c>
      <c r="J247" s="19" t="n">
        <v>9</v>
      </c>
      <c r="L247" s="19" t="n">
        <v>49896</v>
      </c>
    </row>
    <row r="248" customFormat="1" s="19">
      <c r="A248" s="19" t="n">
        <v>4903</v>
      </c>
      <c r="B248" s="19" t="inlineStr">
        <is>
          <t>打造技巧</t>
        </is>
      </c>
      <c r="C248" s="19" t="n">
        <v>44</v>
      </c>
      <c r="G248" s="19" t="n">
        <v>0</v>
      </c>
      <c r="H248" s="19" t="n">
        <v>34</v>
      </c>
      <c r="J248" s="19" t="n">
        <v>12</v>
      </c>
      <c r="L248" s="19" t="n">
        <v>51632</v>
      </c>
    </row>
    <row r="249" customFormat="1" s="19">
      <c r="A249" s="19" t="n">
        <v>4903</v>
      </c>
      <c r="B249" s="19" t="inlineStr">
        <is>
          <t>打造技巧</t>
        </is>
      </c>
      <c r="C249" s="19" t="n">
        <v>45</v>
      </c>
      <c r="G249" s="19" t="n">
        <v>0</v>
      </c>
      <c r="H249" s="19" t="n">
        <v>35</v>
      </c>
      <c r="J249" s="19" t="n">
        <v>15</v>
      </c>
      <c r="L249" s="19" t="n">
        <v>53788</v>
      </c>
    </row>
    <row r="250" customFormat="1" s="19">
      <c r="A250" s="19" t="n">
        <v>4903</v>
      </c>
      <c r="B250" s="19" t="inlineStr">
        <is>
          <t>打造技巧</t>
        </is>
      </c>
      <c r="C250" s="19" t="n">
        <v>46</v>
      </c>
      <c r="G250" s="19" t="n">
        <v>0</v>
      </c>
      <c r="H250" s="19" t="n">
        <v>36</v>
      </c>
      <c r="J250" s="19" t="n">
        <v>18</v>
      </c>
      <c r="L250" s="19" t="n">
        <v>56416</v>
      </c>
    </row>
    <row r="251" customFormat="1" s="19">
      <c r="A251" s="19" t="n">
        <v>4903</v>
      </c>
      <c r="B251" s="19" t="inlineStr">
        <is>
          <t>打造技巧</t>
        </is>
      </c>
      <c r="C251" s="19" t="n">
        <v>47</v>
      </c>
      <c r="G251" s="19" t="n">
        <v>0</v>
      </c>
      <c r="H251" s="19" t="n">
        <v>37</v>
      </c>
      <c r="J251" s="19" t="n">
        <v>21</v>
      </c>
      <c r="L251" s="19" t="n">
        <v>57904</v>
      </c>
    </row>
    <row r="252" customFormat="1" s="19">
      <c r="A252" s="19" t="n">
        <v>4903</v>
      </c>
      <c r="B252" s="19" t="inlineStr">
        <is>
          <t>打造技巧</t>
        </is>
      </c>
      <c r="C252" s="19" t="n">
        <v>48</v>
      </c>
      <c r="G252" s="19" t="n">
        <v>0</v>
      </c>
      <c r="H252" s="19" t="n">
        <v>38</v>
      </c>
      <c r="J252" s="19" t="n">
        <v>24</v>
      </c>
      <c r="L252" s="19" t="n">
        <v>61528</v>
      </c>
    </row>
    <row r="253" customFormat="1" s="19">
      <c r="A253" s="19" t="n">
        <v>4903</v>
      </c>
      <c r="B253" s="19" t="inlineStr">
        <is>
          <t>打造技巧</t>
        </is>
      </c>
      <c r="C253" s="19" t="n">
        <v>49</v>
      </c>
      <c r="G253" s="19" t="n">
        <v>0</v>
      </c>
      <c r="H253" s="19" t="n">
        <v>39</v>
      </c>
      <c r="J253" s="19" t="n">
        <v>27</v>
      </c>
      <c r="L253" s="19" t="n">
        <v>62248</v>
      </c>
    </row>
    <row r="254" customFormat="1" s="19">
      <c r="A254" s="19" t="n">
        <v>4903</v>
      </c>
      <c r="B254" s="19" t="inlineStr">
        <is>
          <t>打造技巧</t>
        </is>
      </c>
      <c r="C254" s="19" t="n">
        <v>50</v>
      </c>
      <c r="G254" s="19" t="n">
        <v>0</v>
      </c>
      <c r="H254" s="19" t="n">
        <v>40</v>
      </c>
      <c r="J254" s="19" t="n">
        <v>30</v>
      </c>
      <c r="L254" s="19" t="n">
        <v>66836</v>
      </c>
    </row>
    <row r="255" customFormat="1" s="19">
      <c r="A255" s="19" t="n">
        <v>4903</v>
      </c>
      <c r="B255" s="19" t="inlineStr">
        <is>
          <t>打造技巧</t>
        </is>
      </c>
      <c r="C255" s="19" t="n">
        <v>51</v>
      </c>
      <c r="G255" s="19" t="n">
        <v>0</v>
      </c>
      <c r="H255" s="19" t="n">
        <v>41</v>
      </c>
      <c r="J255" s="19" t="n">
        <v>33</v>
      </c>
      <c r="L255" s="19" t="n">
        <v>71668</v>
      </c>
    </row>
    <row r="256" customFormat="1" s="19">
      <c r="A256" s="19" t="n">
        <v>4903</v>
      </c>
      <c r="B256" s="19" t="inlineStr">
        <is>
          <t>打造技巧</t>
        </is>
      </c>
      <c r="C256" s="19" t="n">
        <v>52</v>
      </c>
      <c r="G256" s="19" t="n">
        <v>0</v>
      </c>
      <c r="H256" s="19" t="n">
        <v>42</v>
      </c>
      <c r="J256" s="19" t="n">
        <v>36</v>
      </c>
      <c r="L256" s="19" t="n">
        <v>76760</v>
      </c>
    </row>
    <row r="257" customFormat="1" s="19">
      <c r="A257" s="19" t="n">
        <v>4903</v>
      </c>
      <c r="B257" s="19" t="inlineStr">
        <is>
          <t>打造技巧</t>
        </is>
      </c>
      <c r="C257" s="19" t="n">
        <v>53</v>
      </c>
      <c r="G257" s="19" t="n">
        <v>0</v>
      </c>
      <c r="H257" s="19" t="n">
        <v>43</v>
      </c>
      <c r="J257" s="19" t="n">
        <v>39</v>
      </c>
      <c r="L257" s="19" t="n">
        <v>82116</v>
      </c>
    </row>
    <row r="258" customFormat="1" s="19">
      <c r="A258" s="19" t="n">
        <v>4903</v>
      </c>
      <c r="B258" s="19" t="inlineStr">
        <is>
          <t>打造技巧</t>
        </is>
      </c>
      <c r="C258" s="19" t="n">
        <v>54</v>
      </c>
      <c r="G258" s="19" t="n">
        <v>0</v>
      </c>
      <c r="H258" s="19" t="n">
        <v>44</v>
      </c>
      <c r="J258" s="19" t="n">
        <v>42</v>
      </c>
      <c r="L258" s="19" t="n">
        <v>87744</v>
      </c>
    </row>
    <row r="259" customFormat="1" s="19">
      <c r="A259" s="19" t="n">
        <v>4903</v>
      </c>
      <c r="B259" s="19" t="inlineStr">
        <is>
          <t>打造技巧</t>
        </is>
      </c>
      <c r="C259" s="19" t="n">
        <v>55</v>
      </c>
      <c r="G259" s="19" t="n">
        <v>0</v>
      </c>
      <c r="H259" s="19" t="n">
        <v>45</v>
      </c>
      <c r="J259" s="19" t="n">
        <v>45</v>
      </c>
      <c r="L259" s="19" t="n">
        <v>93656</v>
      </c>
    </row>
    <row r="260" customFormat="1" s="19">
      <c r="A260" s="19" t="n">
        <v>4903</v>
      </c>
      <c r="B260" s="19" t="inlineStr">
        <is>
          <t>打造技巧</t>
        </is>
      </c>
      <c r="C260" s="19" t="n">
        <v>56</v>
      </c>
      <c r="G260" s="19" t="n">
        <v>0</v>
      </c>
      <c r="H260" s="19" t="n">
        <v>46</v>
      </c>
      <c r="J260" s="19" t="n">
        <v>48</v>
      </c>
      <c r="L260" s="19" t="n">
        <v>99864</v>
      </c>
    </row>
    <row r="261" customFormat="1" s="19">
      <c r="A261" s="19" t="n">
        <v>4903</v>
      </c>
      <c r="B261" s="19" t="inlineStr">
        <is>
          <t>打造技巧</t>
        </is>
      </c>
      <c r="C261" s="19" t="n">
        <v>57</v>
      </c>
      <c r="G261" s="19" t="n">
        <v>0</v>
      </c>
      <c r="H261" s="19" t="n">
        <v>47</v>
      </c>
      <c r="J261" s="19" t="n">
        <v>51</v>
      </c>
      <c r="L261" s="19" t="n">
        <v>106372</v>
      </c>
    </row>
    <row r="262" customFormat="1" s="19">
      <c r="A262" s="19" t="n">
        <v>4903</v>
      </c>
      <c r="B262" s="19" t="inlineStr">
        <is>
          <t>打造技巧</t>
        </is>
      </c>
      <c r="C262" s="19" t="n">
        <v>58</v>
      </c>
      <c r="G262" s="19" t="n">
        <v>0</v>
      </c>
      <c r="H262" s="19" t="n">
        <v>48</v>
      </c>
      <c r="J262" s="19" t="n">
        <v>54</v>
      </c>
      <c r="L262" s="19" t="n">
        <v>113192</v>
      </c>
    </row>
    <row r="263" customFormat="1" s="19">
      <c r="A263" s="19" t="n">
        <v>4903</v>
      </c>
      <c r="B263" s="19" t="inlineStr">
        <is>
          <t>打造技巧</t>
        </is>
      </c>
      <c r="C263" s="19" t="n">
        <v>59</v>
      </c>
      <c r="G263" s="19" t="n">
        <v>0</v>
      </c>
      <c r="H263" s="19" t="n">
        <v>49</v>
      </c>
      <c r="J263" s="19" t="n">
        <v>57</v>
      </c>
      <c r="L263" s="19" t="n">
        <v>120336</v>
      </c>
    </row>
    <row r="264" customFormat="1" s="19">
      <c r="A264" s="19" t="n">
        <v>4903</v>
      </c>
      <c r="B264" s="19" t="inlineStr">
        <is>
          <t>打造技巧</t>
        </is>
      </c>
      <c r="C264" s="19" t="n">
        <v>60</v>
      </c>
      <c r="G264" s="19" t="n">
        <v>0</v>
      </c>
      <c r="H264" s="19" t="n">
        <v>50</v>
      </c>
      <c r="J264" s="19" t="n">
        <v>60</v>
      </c>
      <c r="L264" s="19" t="n">
        <v>127808</v>
      </c>
    </row>
    <row r="265" customFormat="1" s="19">
      <c r="A265" s="19" t="n">
        <v>4903</v>
      </c>
      <c r="B265" s="19" t="inlineStr">
        <is>
          <t>打造技巧</t>
        </is>
      </c>
      <c r="C265" s="19" t="n">
        <v>61</v>
      </c>
      <c r="G265" s="19" t="n">
        <v>1000</v>
      </c>
      <c r="H265" s="19" t="n">
        <v>51</v>
      </c>
      <c r="J265" s="19" t="n">
        <v>65</v>
      </c>
      <c r="L265" s="19" t="n">
        <v>135620</v>
      </c>
    </row>
    <row r="266" customFormat="1" s="19">
      <c r="A266" s="19" t="n">
        <v>4903</v>
      </c>
      <c r="B266" s="19" t="inlineStr">
        <is>
          <t>打造技巧</t>
        </is>
      </c>
      <c r="C266" s="19" t="n">
        <v>62</v>
      </c>
      <c r="G266" s="19" t="n">
        <v>1500</v>
      </c>
      <c r="H266" s="19" t="n">
        <v>52</v>
      </c>
      <c r="J266" s="19" t="n">
        <v>70</v>
      </c>
      <c r="L266" s="19" t="n">
        <v>143784</v>
      </c>
    </row>
    <row r="267" customFormat="1" s="19">
      <c r="A267" s="19" t="n">
        <v>4903</v>
      </c>
      <c r="B267" s="19" t="inlineStr">
        <is>
          <t>打造技巧</t>
        </is>
      </c>
      <c r="C267" s="19" t="n">
        <v>63</v>
      </c>
      <c r="G267" s="19" t="n">
        <v>2000</v>
      </c>
      <c r="H267" s="19" t="n">
        <v>53</v>
      </c>
      <c r="J267" s="19" t="n">
        <v>75</v>
      </c>
      <c r="L267" s="19" t="n">
        <v>152308</v>
      </c>
    </row>
    <row r="268" customFormat="1" s="19">
      <c r="A268" s="19" t="n">
        <v>4903</v>
      </c>
      <c r="B268" s="19" t="inlineStr">
        <is>
          <t>打造技巧</t>
        </is>
      </c>
      <c r="C268" s="19" t="n">
        <v>64</v>
      </c>
      <c r="G268" s="19" t="n">
        <v>2500</v>
      </c>
      <c r="H268" s="19" t="n">
        <v>54</v>
      </c>
      <c r="J268" s="19" t="n">
        <v>80</v>
      </c>
      <c r="L268" s="19" t="n">
        <v>161208</v>
      </c>
    </row>
    <row r="269" customFormat="1" s="19">
      <c r="A269" s="19" t="n">
        <v>4903</v>
      </c>
      <c r="B269" s="19" t="inlineStr">
        <is>
          <t>打造技巧</t>
        </is>
      </c>
      <c r="C269" s="19" t="n">
        <v>65</v>
      </c>
      <c r="G269" s="19" t="n">
        <v>3000</v>
      </c>
      <c r="H269" s="19" t="n">
        <v>55</v>
      </c>
      <c r="J269" s="19" t="n">
        <v>85</v>
      </c>
      <c r="L269" s="19" t="n">
        <v>170488</v>
      </c>
    </row>
    <row r="270" customFormat="1" s="19">
      <c r="A270" s="19" t="n">
        <v>4903</v>
      </c>
      <c r="B270" s="19" t="inlineStr">
        <is>
          <t>打造技巧</t>
        </is>
      </c>
      <c r="C270" s="19" t="n">
        <v>66</v>
      </c>
      <c r="G270" s="19" t="n">
        <v>3500</v>
      </c>
      <c r="H270" s="19" t="n">
        <v>56</v>
      </c>
      <c r="J270" s="19" t="n">
        <v>90</v>
      </c>
      <c r="L270" s="19" t="n">
        <v>180164</v>
      </c>
    </row>
    <row r="271" customFormat="1" s="19">
      <c r="A271" s="19" t="n">
        <v>4903</v>
      </c>
      <c r="B271" s="19" t="inlineStr">
        <is>
          <t>打造技巧</t>
        </is>
      </c>
      <c r="C271" s="19" t="n">
        <v>67</v>
      </c>
      <c r="G271" s="19" t="n">
        <v>4000</v>
      </c>
      <c r="H271" s="19" t="n">
        <v>57</v>
      </c>
      <c r="J271" s="19" t="n">
        <v>95</v>
      </c>
      <c r="L271" s="19" t="n">
        <v>190244</v>
      </c>
    </row>
    <row r="272" customFormat="1" s="19">
      <c r="A272" s="19" t="n">
        <v>4903</v>
      </c>
      <c r="B272" s="19" t="inlineStr">
        <is>
          <t>打造技巧</t>
        </is>
      </c>
      <c r="C272" s="19" t="n">
        <v>68</v>
      </c>
      <c r="G272" s="19" t="n">
        <v>4500</v>
      </c>
      <c r="H272" s="19" t="n">
        <v>58</v>
      </c>
      <c r="J272" s="19" t="n">
        <v>100</v>
      </c>
      <c r="L272" s="19" t="n">
        <v>200740</v>
      </c>
    </row>
    <row r="273" customFormat="1" s="19">
      <c r="A273" s="19" t="n">
        <v>4903</v>
      </c>
      <c r="B273" s="19" t="inlineStr">
        <is>
          <t>打造技巧</t>
        </is>
      </c>
      <c r="C273" s="19" t="n">
        <v>69</v>
      </c>
      <c r="G273" s="19" t="n">
        <v>5000</v>
      </c>
      <c r="H273" s="19" t="n">
        <v>59</v>
      </c>
      <c r="J273" s="19" t="n">
        <v>105</v>
      </c>
      <c r="L273" s="19" t="n">
        <v>211656</v>
      </c>
    </row>
    <row r="274" customFormat="1" s="19">
      <c r="A274" s="19" t="n">
        <v>4903</v>
      </c>
      <c r="B274" s="19" t="inlineStr">
        <is>
          <t>打造技巧</t>
        </is>
      </c>
      <c r="C274" s="19" t="n">
        <v>70</v>
      </c>
      <c r="G274" s="19" t="n">
        <v>5500</v>
      </c>
      <c r="H274" s="19" t="n">
        <v>60</v>
      </c>
      <c r="J274" s="19" t="n">
        <v>110</v>
      </c>
      <c r="L274" s="19" t="n">
        <v>223016</v>
      </c>
    </row>
    <row r="275" customFormat="1" s="19">
      <c r="A275" s="19" t="n">
        <v>4903</v>
      </c>
      <c r="B275" s="19" t="inlineStr">
        <is>
          <t>打造技巧</t>
        </is>
      </c>
      <c r="C275" s="19" t="n">
        <v>71</v>
      </c>
      <c r="G275" s="19" t="n">
        <v>6000</v>
      </c>
      <c r="H275" s="19" t="n">
        <v>61</v>
      </c>
      <c r="J275" s="19" t="n">
        <v>115</v>
      </c>
      <c r="L275" s="19" t="n">
        <v>234828</v>
      </c>
    </row>
    <row r="276" customFormat="1" s="19">
      <c r="A276" s="19" t="n">
        <v>4903</v>
      </c>
      <c r="B276" s="19" t="inlineStr">
        <is>
          <t>打造技巧</t>
        </is>
      </c>
      <c r="C276" s="19" t="n">
        <v>72</v>
      </c>
      <c r="G276" s="19" t="n">
        <v>6500</v>
      </c>
      <c r="H276" s="19" t="n">
        <v>62</v>
      </c>
      <c r="J276" s="19" t="n">
        <v>120</v>
      </c>
      <c r="L276" s="19" t="n">
        <v>247096</v>
      </c>
    </row>
    <row r="277" customFormat="1" s="19">
      <c r="A277" s="19" t="n">
        <v>4903</v>
      </c>
      <c r="B277" s="19" t="inlineStr">
        <is>
          <t>打造技巧</t>
        </is>
      </c>
      <c r="C277" s="19" t="n">
        <v>73</v>
      </c>
      <c r="G277" s="19" t="n">
        <v>7000</v>
      </c>
      <c r="H277" s="19" t="n">
        <v>63</v>
      </c>
      <c r="J277" s="19" t="n">
        <v>125</v>
      </c>
      <c r="L277" s="19" t="n">
        <v>259840</v>
      </c>
    </row>
    <row r="278" customFormat="1" s="19">
      <c r="A278" s="19" t="n">
        <v>4903</v>
      </c>
      <c r="B278" s="19" t="inlineStr">
        <is>
          <t>打造技巧</t>
        </is>
      </c>
      <c r="C278" s="19" t="n">
        <v>74</v>
      </c>
      <c r="G278" s="19" t="n">
        <v>7500</v>
      </c>
      <c r="H278" s="19" t="n">
        <v>64</v>
      </c>
      <c r="J278" s="19" t="n">
        <v>130</v>
      </c>
      <c r="L278" s="19" t="n">
        <v>273064</v>
      </c>
    </row>
    <row r="279" customFormat="1" s="19">
      <c r="A279" s="19" t="n">
        <v>4903</v>
      </c>
      <c r="B279" s="19" t="inlineStr">
        <is>
          <t>打造技巧</t>
        </is>
      </c>
      <c r="C279" s="19" t="n">
        <v>75</v>
      </c>
      <c r="G279" s="19" t="n">
        <v>8000</v>
      </c>
      <c r="H279" s="19" t="n">
        <v>65</v>
      </c>
      <c r="J279" s="19" t="n">
        <v>135</v>
      </c>
      <c r="L279" s="19" t="n">
        <v>286788</v>
      </c>
    </row>
    <row r="280" customFormat="1" s="19">
      <c r="A280" s="19" t="n">
        <v>4903</v>
      </c>
      <c r="B280" s="19" t="inlineStr">
        <is>
          <t>打造技巧</t>
        </is>
      </c>
      <c r="C280" s="19" t="n">
        <v>76</v>
      </c>
      <c r="G280" s="19" t="n">
        <v>8500</v>
      </c>
      <c r="H280" s="19" t="n">
        <v>66</v>
      </c>
      <c r="J280" s="19" t="n">
        <v>140</v>
      </c>
      <c r="L280" s="19" t="n">
        <v>301024</v>
      </c>
    </row>
    <row r="281" customFormat="1" s="19">
      <c r="A281" s="19" t="n">
        <v>4903</v>
      </c>
      <c r="B281" s="19" t="inlineStr">
        <is>
          <t>打造技巧</t>
        </is>
      </c>
      <c r="C281" s="19" t="n">
        <v>77</v>
      </c>
      <c r="G281" s="19" t="n">
        <v>9000</v>
      </c>
      <c r="H281" s="19" t="n">
        <v>67</v>
      </c>
      <c r="J281" s="19" t="n">
        <v>145</v>
      </c>
      <c r="L281" s="19" t="n">
        <v>315776</v>
      </c>
    </row>
    <row r="282" customFormat="1" s="19">
      <c r="A282" s="19" t="n">
        <v>4903</v>
      </c>
      <c r="B282" s="19" t="inlineStr">
        <is>
          <t>打造技巧</t>
        </is>
      </c>
      <c r="C282" s="19" t="n">
        <v>78</v>
      </c>
      <c r="G282" s="19" t="n">
        <v>9500</v>
      </c>
      <c r="H282" s="19" t="n">
        <v>68</v>
      </c>
      <c r="J282" s="19" t="n">
        <v>150</v>
      </c>
      <c r="L282" s="19" t="n">
        <v>331064</v>
      </c>
    </row>
    <row r="283" customFormat="1" s="19">
      <c r="A283" s="19" t="n">
        <v>4903</v>
      </c>
      <c r="B283" s="19" t="inlineStr">
        <is>
          <t>打造技巧</t>
        </is>
      </c>
      <c r="C283" s="19" t="n">
        <v>79</v>
      </c>
      <c r="G283" s="19" t="n">
        <v>10000</v>
      </c>
      <c r="H283" s="19" t="n">
        <v>69</v>
      </c>
      <c r="J283" s="19" t="n">
        <v>155</v>
      </c>
      <c r="L283" s="19" t="n">
        <v>346896</v>
      </c>
    </row>
    <row r="284" customFormat="1" s="19">
      <c r="A284" s="19" t="n">
        <v>4903</v>
      </c>
      <c r="B284" s="19" t="inlineStr">
        <is>
          <t>打造技巧</t>
        </is>
      </c>
      <c r="C284" s="19" t="n">
        <v>80</v>
      </c>
      <c r="G284" s="19" t="n">
        <v>10500</v>
      </c>
      <c r="H284" s="19" t="n">
        <v>70</v>
      </c>
      <c r="J284" s="19" t="n">
        <v>165</v>
      </c>
      <c r="L284" s="19" t="n">
        <v>363292</v>
      </c>
    </row>
    <row r="285" customFormat="1" s="19">
      <c r="A285" s="19" t="n">
        <v>4903</v>
      </c>
      <c r="B285" s="19" t="inlineStr">
        <is>
          <t>打造技巧</t>
        </is>
      </c>
      <c r="C285" s="19" t="n">
        <v>81</v>
      </c>
      <c r="G285" s="19" t="n">
        <v>11000</v>
      </c>
      <c r="H285" s="19" t="n">
        <v>71</v>
      </c>
      <c r="J285" s="19" t="n">
        <v>175</v>
      </c>
      <c r="L285" s="19" t="n">
        <v>380260</v>
      </c>
    </row>
    <row r="286" customFormat="1" s="19">
      <c r="A286" s="19" t="n">
        <v>4903</v>
      </c>
      <c r="B286" s="19" t="inlineStr">
        <is>
          <t>打造技巧</t>
        </is>
      </c>
      <c r="C286" s="19" t="n">
        <v>82</v>
      </c>
      <c r="G286" s="19" t="n">
        <v>11500</v>
      </c>
      <c r="H286" s="19" t="n">
        <v>72</v>
      </c>
      <c r="J286" s="19" t="n">
        <v>185</v>
      </c>
      <c r="L286" s="19" t="n">
        <v>397808</v>
      </c>
    </row>
    <row r="287" customFormat="1" s="19">
      <c r="A287" s="19" t="n">
        <v>4903</v>
      </c>
      <c r="B287" s="19" t="inlineStr">
        <is>
          <t>打造技巧</t>
        </is>
      </c>
      <c r="C287" s="19" t="n">
        <v>83</v>
      </c>
      <c r="G287" s="19" t="n">
        <v>12000</v>
      </c>
      <c r="H287" s="19" t="n">
        <v>73</v>
      </c>
      <c r="J287" s="19" t="n">
        <v>195</v>
      </c>
      <c r="L287" s="19" t="n">
        <v>415964</v>
      </c>
    </row>
    <row r="288" customFormat="1" s="19">
      <c r="A288" s="19" t="n">
        <v>4903</v>
      </c>
      <c r="B288" s="19" t="inlineStr">
        <is>
          <t>打造技巧</t>
        </is>
      </c>
      <c r="C288" s="19" t="n">
        <v>84</v>
      </c>
      <c r="G288" s="19" t="n">
        <v>12500</v>
      </c>
      <c r="H288" s="19" t="n">
        <v>74</v>
      </c>
      <c r="J288" s="19" t="n">
        <v>205</v>
      </c>
      <c r="L288" s="19" t="n">
        <v>434724</v>
      </c>
    </row>
    <row r="289" customFormat="1" s="19">
      <c r="A289" s="19" t="n">
        <v>4903</v>
      </c>
      <c r="B289" s="19" t="inlineStr">
        <is>
          <t>打造技巧</t>
        </is>
      </c>
      <c r="C289" s="19" t="n">
        <v>85</v>
      </c>
      <c r="G289" s="19" t="n">
        <v>13000</v>
      </c>
      <c r="H289" s="19" t="n">
        <v>75</v>
      </c>
      <c r="J289" s="19" t="n">
        <v>215</v>
      </c>
      <c r="L289" s="19" t="n">
        <v>454112</v>
      </c>
    </row>
    <row r="290" customFormat="1" s="19">
      <c r="A290" s="19" t="n">
        <v>4903</v>
      </c>
      <c r="B290" s="19" t="inlineStr">
        <is>
          <t>打造技巧</t>
        </is>
      </c>
      <c r="C290" s="19" t="n">
        <v>86</v>
      </c>
      <c r="G290" s="19" t="n">
        <v>13500</v>
      </c>
      <c r="H290" s="19" t="n">
        <v>76</v>
      </c>
      <c r="J290" s="19" t="n">
        <v>225</v>
      </c>
      <c r="L290" s="19" t="n">
        <v>474140</v>
      </c>
    </row>
    <row r="291" customFormat="1" s="19">
      <c r="A291" s="19" t="n">
        <v>4903</v>
      </c>
      <c r="B291" s="19" t="inlineStr">
        <is>
          <t>打造技巧</t>
        </is>
      </c>
      <c r="C291" s="19" t="n">
        <v>87</v>
      </c>
      <c r="G291" s="19" t="n">
        <v>14000</v>
      </c>
      <c r="H291" s="19" t="n">
        <v>77</v>
      </c>
      <c r="J291" s="19" t="n">
        <v>235</v>
      </c>
      <c r="L291" s="19" t="n">
        <v>494820</v>
      </c>
    </row>
    <row r="292" customFormat="1" s="19">
      <c r="A292" s="19" t="n">
        <v>4903</v>
      </c>
      <c r="B292" s="19" t="inlineStr">
        <is>
          <t>打造技巧</t>
        </is>
      </c>
      <c r="C292" s="19" t="n">
        <v>88</v>
      </c>
      <c r="G292" s="19" t="n">
        <v>14500</v>
      </c>
      <c r="H292" s="19" t="n">
        <v>78</v>
      </c>
      <c r="J292" s="19" t="n">
        <v>245</v>
      </c>
      <c r="L292" s="19" t="n">
        <v>516168</v>
      </c>
    </row>
    <row r="293" customFormat="1" s="19">
      <c r="A293" s="19" t="n">
        <v>4903</v>
      </c>
      <c r="B293" s="19" t="inlineStr">
        <is>
          <t>打造技巧</t>
        </is>
      </c>
      <c r="C293" s="19" t="n">
        <v>89</v>
      </c>
      <c r="G293" s="19" t="n">
        <v>15000</v>
      </c>
      <c r="H293" s="19" t="n">
        <v>79</v>
      </c>
      <c r="J293" s="19" t="n">
        <v>255</v>
      </c>
      <c r="L293" s="19" t="n">
        <v>538200</v>
      </c>
    </row>
    <row r="294" customFormat="1" s="19">
      <c r="A294" s="19" t="n">
        <v>4903</v>
      </c>
      <c r="B294" s="19" t="inlineStr">
        <is>
          <t>打造技巧</t>
        </is>
      </c>
      <c r="C294" s="19" t="n">
        <v>90</v>
      </c>
      <c r="G294" s="19" t="n">
        <v>15500</v>
      </c>
      <c r="H294" s="19" t="n">
        <v>80</v>
      </c>
      <c r="J294" s="19" t="n">
        <v>265</v>
      </c>
      <c r="L294" s="19" t="n">
        <v>560924</v>
      </c>
    </row>
    <row r="295" customFormat="1" s="19">
      <c r="A295" s="19" t="n">
        <v>4903</v>
      </c>
      <c r="B295" s="19" t="inlineStr">
        <is>
          <t>打造技巧</t>
        </is>
      </c>
      <c r="C295" s="19" t="n">
        <v>91</v>
      </c>
      <c r="G295" s="19" t="n">
        <v>16000</v>
      </c>
      <c r="H295" s="19" t="n">
        <v>81</v>
      </c>
      <c r="J295" s="19" t="n">
        <v>275</v>
      </c>
      <c r="L295" s="19" t="n">
        <v>584356</v>
      </c>
    </row>
    <row r="296" customFormat="1" s="19">
      <c r="A296" s="19" t="n">
        <v>4903</v>
      </c>
      <c r="B296" s="19" t="inlineStr">
        <is>
          <t>打造技巧</t>
        </is>
      </c>
      <c r="C296" s="19" t="n">
        <v>92</v>
      </c>
      <c r="G296" s="19" t="n">
        <v>16500</v>
      </c>
      <c r="H296" s="19" t="n">
        <v>82</v>
      </c>
      <c r="J296" s="19" t="n">
        <v>285</v>
      </c>
      <c r="L296" s="19" t="n">
        <v>608516</v>
      </c>
    </row>
    <row r="297" customFormat="1" s="19">
      <c r="A297" s="19" t="n">
        <v>4903</v>
      </c>
      <c r="B297" s="19" t="inlineStr">
        <is>
          <t>打造技巧</t>
        </is>
      </c>
      <c r="C297" s="19" t="n">
        <v>93</v>
      </c>
      <c r="G297" s="19" t="n">
        <v>17000</v>
      </c>
      <c r="H297" s="19" t="n">
        <v>83</v>
      </c>
      <c r="J297" s="19" t="n">
        <v>295</v>
      </c>
      <c r="L297" s="19" t="n">
        <v>633416</v>
      </c>
    </row>
    <row r="298" customFormat="1" s="19">
      <c r="A298" s="19" t="n">
        <v>4903</v>
      </c>
      <c r="B298" s="19" t="inlineStr">
        <is>
          <t>打造技巧</t>
        </is>
      </c>
      <c r="C298" s="19" t="n">
        <v>94</v>
      </c>
      <c r="G298" s="19" t="n">
        <v>17500</v>
      </c>
      <c r="H298" s="19" t="n">
        <v>84</v>
      </c>
      <c r="J298" s="19" t="n">
        <v>305</v>
      </c>
      <c r="L298" s="19" t="n">
        <v>659064</v>
      </c>
    </row>
    <row r="299" customFormat="1" s="19">
      <c r="A299" s="19" t="n">
        <v>4903</v>
      </c>
      <c r="B299" s="19" t="inlineStr">
        <is>
          <t>打造技巧</t>
        </is>
      </c>
      <c r="C299" s="19" t="n">
        <v>95</v>
      </c>
      <c r="G299" s="19" t="n">
        <v>18000</v>
      </c>
      <c r="H299" s="19" t="n">
        <v>85</v>
      </c>
      <c r="J299" s="19" t="n">
        <v>315</v>
      </c>
      <c r="L299" s="19" t="n">
        <v>685488</v>
      </c>
    </row>
    <row r="300" customFormat="1" s="19">
      <c r="A300" s="19" t="n">
        <v>4903</v>
      </c>
      <c r="B300" s="19" t="inlineStr">
        <is>
          <t>打造技巧</t>
        </is>
      </c>
      <c r="C300" s="19" t="n">
        <v>96</v>
      </c>
      <c r="G300" s="19" t="n">
        <v>18500</v>
      </c>
      <c r="H300" s="19" t="n">
        <v>86</v>
      </c>
      <c r="J300" s="19" t="n">
        <v>325</v>
      </c>
      <c r="L300" s="19" t="n">
        <v>712696</v>
      </c>
    </row>
    <row r="301" customFormat="1" s="19">
      <c r="A301" s="19" t="n">
        <v>4903</v>
      </c>
      <c r="B301" s="19" t="inlineStr">
        <is>
          <t>打造技巧</t>
        </is>
      </c>
      <c r="C301" s="19" t="n">
        <v>97</v>
      </c>
      <c r="G301" s="19" t="n">
        <v>19000</v>
      </c>
      <c r="H301" s="19" t="n">
        <v>87</v>
      </c>
      <c r="J301" s="19" t="n">
        <v>335</v>
      </c>
      <c r="L301" s="19" t="n">
        <v>740700</v>
      </c>
    </row>
    <row r="302" customFormat="1" s="19">
      <c r="A302" s="19" t="n">
        <v>4903</v>
      </c>
      <c r="B302" s="19" t="inlineStr">
        <is>
          <t>打造技巧</t>
        </is>
      </c>
      <c r="C302" s="19" t="n">
        <v>98</v>
      </c>
      <c r="G302" s="19" t="n">
        <v>19500</v>
      </c>
      <c r="H302" s="19" t="n">
        <v>88</v>
      </c>
      <c r="J302" s="19" t="n">
        <v>345</v>
      </c>
      <c r="L302" s="19" t="n">
        <v>769520</v>
      </c>
    </row>
    <row r="303" customFormat="1" s="19">
      <c r="A303" s="19" t="n">
        <v>4903</v>
      </c>
      <c r="B303" s="19" t="inlineStr">
        <is>
          <t>打造技巧</t>
        </is>
      </c>
      <c r="C303" s="19" t="n">
        <v>99</v>
      </c>
      <c r="G303" s="19" t="n">
        <v>20000</v>
      </c>
      <c r="H303" s="19" t="n">
        <v>89</v>
      </c>
      <c r="J303" s="19" t="n">
        <v>355</v>
      </c>
      <c r="L303" s="19" t="n">
        <v>799168</v>
      </c>
    </row>
    <row r="304" customFormat="1" s="19">
      <c r="A304" s="19" t="n">
        <v>4903</v>
      </c>
      <c r="B304" s="19" t="inlineStr">
        <is>
          <t>打造技巧</t>
        </is>
      </c>
      <c r="C304" s="19" t="n">
        <v>100</v>
      </c>
      <c r="G304" s="19" t="n">
        <v>20500</v>
      </c>
      <c r="H304" s="19" t="n">
        <v>90</v>
      </c>
      <c r="J304" s="19" t="n">
        <v>365</v>
      </c>
      <c r="L304" s="19" t="n">
        <v>829668</v>
      </c>
    </row>
    <row r="305" customFormat="1" s="20">
      <c r="A305" s="20" t="n">
        <v>4904</v>
      </c>
      <c r="B305" s="20" t="inlineStr">
        <is>
          <t>裁缝技巧</t>
        </is>
      </c>
      <c r="C305" s="20" t="n">
        <v>1</v>
      </c>
      <c r="D305" s="20" t="inlineStr">
        <is>
          <t>裁缝技巧</t>
        </is>
      </c>
      <c r="E305" s="20" t="inlineStr">
        <is>
          <t>从天衣无缝针法演化而来的技能，可提高制作头盔和衣甲的能力。</t>
        </is>
      </c>
      <c r="F305" s="20" t="inlineStr">
        <is>
          <t>tailoring</t>
        </is>
      </c>
      <c r="G305" s="20" t="n">
        <v>0</v>
      </c>
      <c r="H305" s="20" t="n">
        <v>0</v>
      </c>
      <c r="J305" s="20" t="n">
        <v>0</v>
      </c>
      <c r="L305" s="20" t="n">
        <v>100</v>
      </c>
    </row>
    <row r="306" customFormat="1" s="20">
      <c r="A306" s="20" t="n">
        <v>4904</v>
      </c>
      <c r="B306" s="20" t="inlineStr">
        <is>
          <t>裁缝技巧</t>
        </is>
      </c>
      <c r="C306" s="20" t="n">
        <v>2</v>
      </c>
      <c r="G306" s="20" t="n">
        <v>0</v>
      </c>
      <c r="H306" s="20" t="n">
        <v>0</v>
      </c>
      <c r="J306" s="20" t="n">
        <v>0</v>
      </c>
      <c r="L306" s="20" t="n">
        <v>180</v>
      </c>
    </row>
    <row r="307" customFormat="1" s="20">
      <c r="A307" s="20" t="n">
        <v>4904</v>
      </c>
      <c r="B307" s="20" t="inlineStr">
        <is>
          <t>裁缝技巧</t>
        </is>
      </c>
      <c r="C307" s="20" t="n">
        <v>3</v>
      </c>
      <c r="G307" s="20" t="n">
        <v>0</v>
      </c>
      <c r="H307" s="20" t="n">
        <v>0</v>
      </c>
      <c r="J307" s="20" t="n">
        <v>0</v>
      </c>
      <c r="L307" s="20" t="n">
        <v>280</v>
      </c>
    </row>
    <row r="308" customFormat="1" s="20">
      <c r="A308" s="20" t="n">
        <v>4904</v>
      </c>
      <c r="B308" s="20" t="inlineStr">
        <is>
          <t>裁缝技巧</t>
        </is>
      </c>
      <c r="C308" s="20" t="n">
        <v>4</v>
      </c>
      <c r="G308" s="20" t="n">
        <v>0</v>
      </c>
      <c r="H308" s="20" t="n">
        <v>0</v>
      </c>
      <c r="J308" s="20" t="n">
        <v>0</v>
      </c>
      <c r="L308" s="20" t="n">
        <v>440</v>
      </c>
    </row>
    <row r="309" customFormat="1" s="20">
      <c r="A309" s="20" t="n">
        <v>4904</v>
      </c>
      <c r="B309" s="20" t="inlineStr">
        <is>
          <t>裁缝技巧</t>
        </is>
      </c>
      <c r="C309" s="20" t="n">
        <v>5</v>
      </c>
      <c r="G309" s="20" t="n">
        <v>0</v>
      </c>
      <c r="H309" s="20" t="n">
        <v>0</v>
      </c>
      <c r="J309" s="20" t="n">
        <v>0</v>
      </c>
      <c r="L309" s="20" t="n">
        <v>580</v>
      </c>
    </row>
    <row r="310" customFormat="1" s="20">
      <c r="A310" s="20" t="n">
        <v>4904</v>
      </c>
      <c r="B310" s="20" t="inlineStr">
        <is>
          <t>裁缝技巧</t>
        </is>
      </c>
      <c r="C310" s="20" t="n">
        <v>6</v>
      </c>
      <c r="G310" s="20" t="n">
        <v>0</v>
      </c>
      <c r="H310" s="20" t="n">
        <v>0</v>
      </c>
      <c r="J310" s="20" t="n">
        <v>0</v>
      </c>
      <c r="L310" s="20" t="n">
        <v>780</v>
      </c>
    </row>
    <row r="311" customFormat="1" s="20">
      <c r="A311" s="20" t="n">
        <v>4904</v>
      </c>
      <c r="B311" s="20" t="inlineStr">
        <is>
          <t>裁缝技巧</t>
        </is>
      </c>
      <c r="C311" s="20" t="n">
        <v>7</v>
      </c>
      <c r="G311" s="20" t="n">
        <v>0</v>
      </c>
      <c r="H311" s="20" t="n">
        <v>0</v>
      </c>
      <c r="J311" s="20" t="n">
        <v>0</v>
      </c>
      <c r="L311" s="20" t="n">
        <v>1020</v>
      </c>
    </row>
    <row r="312" customFormat="1" s="20">
      <c r="A312" s="20" t="n">
        <v>4904</v>
      </c>
      <c r="B312" s="20" t="inlineStr">
        <is>
          <t>裁缝技巧</t>
        </is>
      </c>
      <c r="C312" s="20" t="n">
        <v>8</v>
      </c>
      <c r="G312" s="20" t="n">
        <v>0</v>
      </c>
      <c r="H312" s="20" t="n">
        <v>0</v>
      </c>
      <c r="J312" s="20" t="n">
        <v>0</v>
      </c>
      <c r="L312" s="20" t="n">
        <v>1320</v>
      </c>
    </row>
    <row r="313" customFormat="1" s="20">
      <c r="A313" s="20" t="n">
        <v>4904</v>
      </c>
      <c r="B313" s="20" t="inlineStr">
        <is>
          <t>裁缝技巧</t>
        </is>
      </c>
      <c r="C313" s="20" t="n">
        <v>9</v>
      </c>
      <c r="G313" s="20" t="n">
        <v>0</v>
      </c>
      <c r="H313" s="20" t="n">
        <v>0</v>
      </c>
      <c r="J313" s="20" t="n">
        <v>0</v>
      </c>
      <c r="L313" s="20" t="n">
        <v>1700</v>
      </c>
    </row>
    <row r="314" customFormat="1" s="20">
      <c r="A314" s="20" t="n">
        <v>4904</v>
      </c>
      <c r="B314" s="20" t="inlineStr">
        <is>
          <t>裁缝技巧</t>
        </is>
      </c>
      <c r="C314" s="20" t="n">
        <v>10</v>
      </c>
      <c r="G314" s="20" t="n">
        <v>0</v>
      </c>
      <c r="H314" s="20" t="n">
        <v>0</v>
      </c>
      <c r="J314" s="20" t="n">
        <v>0</v>
      </c>
      <c r="L314" s="20" t="n">
        <v>2120</v>
      </c>
    </row>
    <row r="315" customFormat="1" s="20">
      <c r="A315" s="20" t="n">
        <v>4904</v>
      </c>
      <c r="B315" s="20" t="inlineStr">
        <is>
          <t>裁缝技巧</t>
        </is>
      </c>
      <c r="C315" s="20" t="n">
        <v>11</v>
      </c>
      <c r="G315" s="20" t="n">
        <v>0</v>
      </c>
      <c r="H315" s="20" t="n">
        <v>1</v>
      </c>
      <c r="J315" s="20" t="n">
        <v>0</v>
      </c>
      <c r="L315" s="20" t="n">
        <v>2680</v>
      </c>
    </row>
    <row r="316" customFormat="1" s="20">
      <c r="A316" s="20" t="n">
        <v>4904</v>
      </c>
      <c r="B316" s="20" t="inlineStr">
        <is>
          <t>裁缝技巧</t>
        </is>
      </c>
      <c r="C316" s="20" t="n">
        <v>12</v>
      </c>
      <c r="G316" s="20" t="n">
        <v>0</v>
      </c>
      <c r="H316" s="20" t="n">
        <v>2</v>
      </c>
      <c r="J316" s="20" t="n">
        <v>0</v>
      </c>
      <c r="L316" s="20" t="n">
        <v>3320</v>
      </c>
    </row>
    <row r="317" customFormat="1" s="20">
      <c r="A317" s="20" t="n">
        <v>4904</v>
      </c>
      <c r="B317" s="20" t="inlineStr">
        <is>
          <t>裁缝技巧</t>
        </is>
      </c>
      <c r="C317" s="20" t="n">
        <v>13</v>
      </c>
      <c r="G317" s="20" t="n">
        <v>0</v>
      </c>
      <c r="H317" s="20" t="n">
        <v>3</v>
      </c>
      <c r="J317" s="20" t="n">
        <v>0</v>
      </c>
      <c r="L317" s="20" t="n">
        <v>4080</v>
      </c>
    </row>
    <row r="318" customFormat="1" s="20">
      <c r="A318" s="20" t="n">
        <v>4904</v>
      </c>
      <c r="B318" s="20" t="inlineStr">
        <is>
          <t>裁缝技巧</t>
        </is>
      </c>
      <c r="C318" s="20" t="n">
        <v>14</v>
      </c>
      <c r="G318" s="20" t="n">
        <v>0</v>
      </c>
      <c r="H318" s="20" t="n">
        <v>4</v>
      </c>
      <c r="J318" s="20" t="n">
        <v>0</v>
      </c>
      <c r="L318" s="20" t="n">
        <v>4980</v>
      </c>
    </row>
    <row r="319" customFormat="1" s="20">
      <c r="A319" s="20" t="n">
        <v>4904</v>
      </c>
      <c r="B319" s="20" t="inlineStr">
        <is>
          <t>裁缝技巧</t>
        </is>
      </c>
      <c r="C319" s="20" t="n">
        <v>15</v>
      </c>
      <c r="G319" s="20" t="n">
        <v>0</v>
      </c>
      <c r="H319" s="20" t="n">
        <v>5</v>
      </c>
      <c r="J319" s="20" t="n">
        <v>0</v>
      </c>
      <c r="L319" s="20" t="n">
        <v>6020</v>
      </c>
    </row>
    <row r="320" customFormat="1" s="20">
      <c r="A320" s="20" t="n">
        <v>4904</v>
      </c>
      <c r="B320" s="20" t="inlineStr">
        <is>
          <t>裁缝技巧</t>
        </is>
      </c>
      <c r="C320" s="20" t="n">
        <v>16</v>
      </c>
      <c r="G320" s="20" t="n">
        <v>0</v>
      </c>
      <c r="H320" s="20" t="n">
        <v>6</v>
      </c>
      <c r="J320" s="20" t="n">
        <v>0</v>
      </c>
      <c r="L320" s="20" t="n">
        <v>7232</v>
      </c>
    </row>
    <row r="321" customFormat="1" s="20">
      <c r="A321" s="20" t="n">
        <v>4904</v>
      </c>
      <c r="B321" s="20" t="inlineStr">
        <is>
          <t>裁缝技巧</t>
        </is>
      </c>
      <c r="C321" s="20" t="n">
        <v>17</v>
      </c>
      <c r="G321" s="20" t="n">
        <v>0</v>
      </c>
      <c r="H321" s="20" t="n">
        <v>7</v>
      </c>
      <c r="J321" s="20" t="n">
        <v>0</v>
      </c>
      <c r="L321" s="20" t="n">
        <v>7240</v>
      </c>
    </row>
    <row r="322" customFormat="1" s="20">
      <c r="A322" s="20" t="n">
        <v>4904</v>
      </c>
      <c r="B322" s="20" t="inlineStr">
        <is>
          <t>裁缝技巧</t>
        </is>
      </c>
      <c r="C322" s="20" t="n">
        <v>18</v>
      </c>
      <c r="G322" s="20" t="n">
        <v>0</v>
      </c>
      <c r="H322" s="20" t="n">
        <v>8</v>
      </c>
      <c r="J322" s="20" t="n">
        <v>0</v>
      </c>
      <c r="L322" s="20" t="n">
        <v>8620</v>
      </c>
    </row>
    <row r="323" customFormat="1" s="20">
      <c r="A323" s="20" t="n">
        <v>4904</v>
      </c>
      <c r="B323" s="20" t="inlineStr">
        <is>
          <t>裁缝技巧</t>
        </is>
      </c>
      <c r="C323" s="20" t="n">
        <v>19</v>
      </c>
      <c r="G323" s="20" t="n">
        <v>0</v>
      </c>
      <c r="H323" s="20" t="n">
        <v>9</v>
      </c>
      <c r="J323" s="20" t="n">
        <v>0</v>
      </c>
      <c r="L323" s="20" t="n">
        <v>8752</v>
      </c>
    </row>
    <row r="324" customFormat="1" s="20">
      <c r="A324" s="20" t="n">
        <v>4904</v>
      </c>
      <c r="B324" s="20" t="inlineStr">
        <is>
          <t>裁缝技巧</t>
        </is>
      </c>
      <c r="C324" s="20" t="n">
        <v>20</v>
      </c>
      <c r="G324" s="20" t="n">
        <v>0</v>
      </c>
      <c r="H324" s="20" t="n">
        <v>10</v>
      </c>
      <c r="J324" s="20" t="n">
        <v>0</v>
      </c>
      <c r="L324" s="20" t="n">
        <v>10032</v>
      </c>
    </row>
    <row r="325" customFormat="1" s="20">
      <c r="A325" s="20" t="n">
        <v>4904</v>
      </c>
      <c r="B325" s="20" t="inlineStr">
        <is>
          <t>裁缝技巧</t>
        </is>
      </c>
      <c r="C325" s="20" t="n">
        <v>21</v>
      </c>
      <c r="G325" s="20" t="n">
        <v>0</v>
      </c>
      <c r="H325" s="20" t="n">
        <v>11</v>
      </c>
      <c r="J325" s="20" t="n">
        <v>1</v>
      </c>
      <c r="L325" s="20" t="n">
        <v>10220</v>
      </c>
    </row>
    <row r="326" customFormat="1" s="20">
      <c r="A326" s="20" t="n">
        <v>4904</v>
      </c>
      <c r="B326" s="20" t="inlineStr">
        <is>
          <t>裁缝技巧</t>
        </is>
      </c>
      <c r="C326" s="20" t="n">
        <v>22</v>
      </c>
      <c r="G326" s="20" t="n">
        <v>0</v>
      </c>
      <c r="H326" s="20" t="n">
        <v>12</v>
      </c>
      <c r="J326" s="20" t="n">
        <v>1</v>
      </c>
      <c r="L326" s="20" t="n">
        <v>11456</v>
      </c>
    </row>
    <row r="327" customFormat="1" s="20">
      <c r="A327" s="20" t="n">
        <v>4904</v>
      </c>
      <c r="B327" s="20" t="inlineStr">
        <is>
          <t>裁缝技巧</t>
        </is>
      </c>
      <c r="C327" s="20" t="n">
        <v>23</v>
      </c>
      <c r="G327" s="20" t="n">
        <v>0</v>
      </c>
      <c r="H327" s="20" t="n">
        <v>13</v>
      </c>
      <c r="J327" s="20" t="n">
        <v>1</v>
      </c>
      <c r="L327" s="20" t="n">
        <v>12060</v>
      </c>
    </row>
    <row r="328" customFormat="1" s="20">
      <c r="A328" s="20" t="n">
        <v>4904</v>
      </c>
      <c r="B328" s="20" t="inlineStr">
        <is>
          <t>裁缝技巧</t>
        </is>
      </c>
      <c r="C328" s="20" t="n">
        <v>24</v>
      </c>
      <c r="G328" s="20" t="n">
        <v>0</v>
      </c>
      <c r="H328" s="20" t="n">
        <v>14</v>
      </c>
      <c r="J328" s="20" t="n">
        <v>1</v>
      </c>
      <c r="L328" s="20" t="n">
        <v>13024</v>
      </c>
    </row>
    <row r="329" customFormat="1" s="20">
      <c r="A329" s="20" t="n">
        <v>4904</v>
      </c>
      <c r="B329" s="20" t="inlineStr">
        <is>
          <t>裁缝技巧</t>
        </is>
      </c>
      <c r="C329" s="20" t="n">
        <v>25</v>
      </c>
      <c r="G329" s="20" t="n">
        <v>0</v>
      </c>
      <c r="H329" s="20" t="n">
        <v>15</v>
      </c>
      <c r="J329" s="20" t="n">
        <v>1</v>
      </c>
      <c r="L329" s="20" t="n">
        <v>14080</v>
      </c>
    </row>
    <row r="330" customFormat="1" s="20">
      <c r="A330" s="20" t="n">
        <v>4904</v>
      </c>
      <c r="B330" s="20" t="inlineStr">
        <is>
          <t>裁缝技巧</t>
        </is>
      </c>
      <c r="C330" s="20" t="n">
        <v>26</v>
      </c>
      <c r="G330" s="20" t="n">
        <v>0</v>
      </c>
      <c r="H330" s="20" t="n">
        <v>16</v>
      </c>
      <c r="J330" s="20" t="n">
        <v>1</v>
      </c>
      <c r="L330" s="20" t="n">
        <v>14752</v>
      </c>
    </row>
    <row r="331" customFormat="1" s="20">
      <c r="A331" s="20" t="n">
        <v>4904</v>
      </c>
      <c r="B331" s="20" t="inlineStr">
        <is>
          <t>裁缝技巧</t>
        </is>
      </c>
      <c r="C331" s="20" t="n">
        <v>27</v>
      </c>
      <c r="G331" s="20" t="n">
        <v>0</v>
      </c>
      <c r="H331" s="20" t="n">
        <v>17</v>
      </c>
      <c r="J331" s="20" t="n">
        <v>1</v>
      </c>
      <c r="L331" s="20" t="n">
        <v>16648</v>
      </c>
    </row>
    <row r="332" customFormat="1" s="20">
      <c r="A332" s="20" t="n">
        <v>4904</v>
      </c>
      <c r="B332" s="20" t="inlineStr">
        <is>
          <t>裁缝技巧</t>
        </is>
      </c>
      <c r="C332" s="20" t="n">
        <v>28</v>
      </c>
      <c r="G332" s="20" t="n">
        <v>0</v>
      </c>
      <c r="H332" s="20" t="n">
        <v>18</v>
      </c>
      <c r="J332" s="20" t="n">
        <v>1</v>
      </c>
      <c r="L332" s="20" t="n">
        <v>18712</v>
      </c>
    </row>
    <row r="333" customFormat="1" s="20">
      <c r="A333" s="20" t="n">
        <v>4904</v>
      </c>
      <c r="B333" s="20" t="inlineStr">
        <is>
          <t>裁缝技巧</t>
        </is>
      </c>
      <c r="C333" s="20" t="n">
        <v>29</v>
      </c>
      <c r="G333" s="20" t="n">
        <v>0</v>
      </c>
      <c r="H333" s="20" t="n">
        <v>19</v>
      </c>
      <c r="J333" s="20" t="n">
        <v>1</v>
      </c>
      <c r="L333" s="20" t="n">
        <v>20976</v>
      </c>
    </row>
    <row r="334" customFormat="1" s="20">
      <c r="A334" s="20" t="n">
        <v>4904</v>
      </c>
      <c r="B334" s="20" t="inlineStr">
        <is>
          <t>裁缝技巧</t>
        </is>
      </c>
      <c r="C334" s="20" t="n">
        <v>30</v>
      </c>
      <c r="G334" s="20" t="n">
        <v>0</v>
      </c>
      <c r="H334" s="20" t="n">
        <v>20</v>
      </c>
      <c r="J334" s="20" t="n">
        <v>1</v>
      </c>
      <c r="L334" s="20" t="n">
        <v>23432</v>
      </c>
    </row>
    <row r="335" customFormat="1" s="20">
      <c r="A335" s="20" t="n">
        <v>4904</v>
      </c>
      <c r="B335" s="20" t="inlineStr">
        <is>
          <t>裁缝技巧</t>
        </is>
      </c>
      <c r="C335" s="20" t="n">
        <v>31</v>
      </c>
      <c r="G335" s="20" t="n">
        <v>0</v>
      </c>
      <c r="H335" s="20" t="n">
        <v>21</v>
      </c>
      <c r="J335" s="20" t="n">
        <v>1</v>
      </c>
      <c r="L335" s="20" t="n">
        <v>26096</v>
      </c>
    </row>
    <row r="336" customFormat="1" s="20">
      <c r="A336" s="20" t="n">
        <v>4904</v>
      </c>
      <c r="B336" s="20" t="inlineStr">
        <is>
          <t>裁缝技巧</t>
        </is>
      </c>
      <c r="C336" s="20" t="n">
        <v>32</v>
      </c>
      <c r="G336" s="20" t="n">
        <v>0</v>
      </c>
      <c r="H336" s="20" t="n">
        <v>22</v>
      </c>
      <c r="J336" s="20" t="n">
        <v>1</v>
      </c>
      <c r="L336" s="20" t="n">
        <v>28976</v>
      </c>
    </row>
    <row r="337" customFormat="1" s="20">
      <c r="A337" s="20" t="n">
        <v>4904</v>
      </c>
      <c r="B337" s="20" t="inlineStr">
        <is>
          <t>裁缝技巧</t>
        </is>
      </c>
      <c r="C337" s="20" t="n">
        <v>33</v>
      </c>
      <c r="G337" s="20" t="n">
        <v>0</v>
      </c>
      <c r="H337" s="20" t="n">
        <v>23</v>
      </c>
      <c r="J337" s="20" t="n">
        <v>1</v>
      </c>
      <c r="L337" s="20" t="n">
        <v>32104</v>
      </c>
    </row>
    <row r="338" customFormat="1" s="20">
      <c r="A338" s="20" t="n">
        <v>4904</v>
      </c>
      <c r="B338" s="20" t="inlineStr">
        <is>
          <t>裁缝技巧</t>
        </is>
      </c>
      <c r="C338" s="20" t="n">
        <v>34</v>
      </c>
      <c r="G338" s="20" t="n">
        <v>0</v>
      </c>
      <c r="H338" s="20" t="n">
        <v>24</v>
      </c>
      <c r="J338" s="20" t="n">
        <v>1</v>
      </c>
      <c r="L338" s="20" t="n">
        <v>33488</v>
      </c>
    </row>
    <row r="339" customFormat="1" s="20">
      <c r="A339" s="20" t="n">
        <v>4904</v>
      </c>
      <c r="B339" s="20" t="inlineStr">
        <is>
          <t>裁缝技巧</t>
        </is>
      </c>
      <c r="C339" s="20" t="n">
        <v>35</v>
      </c>
      <c r="G339" s="20" t="n">
        <v>0</v>
      </c>
      <c r="H339" s="20" t="n">
        <v>25</v>
      </c>
      <c r="J339" s="20" t="n">
        <v>1</v>
      </c>
      <c r="L339" s="20" t="n">
        <v>35464</v>
      </c>
    </row>
    <row r="340" customFormat="1" s="20">
      <c r="A340" s="20" t="n">
        <v>4904</v>
      </c>
      <c r="B340" s="20" t="inlineStr">
        <is>
          <t>裁缝技巧</t>
        </is>
      </c>
      <c r="C340" s="20" t="n">
        <v>36</v>
      </c>
      <c r="G340" s="20" t="n">
        <v>0</v>
      </c>
      <c r="H340" s="20" t="n">
        <v>26</v>
      </c>
      <c r="J340" s="20" t="n">
        <v>1</v>
      </c>
      <c r="L340" s="20" t="n">
        <v>36384</v>
      </c>
    </row>
    <row r="341" customFormat="1" s="20">
      <c r="A341" s="20" t="n">
        <v>4904</v>
      </c>
      <c r="B341" s="20" t="inlineStr">
        <is>
          <t>裁缝技巧</t>
        </is>
      </c>
      <c r="C341" s="20" t="n">
        <v>37</v>
      </c>
      <c r="G341" s="20" t="n">
        <v>0</v>
      </c>
      <c r="H341" s="20" t="n">
        <v>27</v>
      </c>
      <c r="J341" s="20" t="n">
        <v>1</v>
      </c>
      <c r="L341" s="20" t="n">
        <v>39096</v>
      </c>
    </row>
    <row r="342" customFormat="1" s="20">
      <c r="A342" s="20" t="n">
        <v>4904</v>
      </c>
      <c r="B342" s="20" t="inlineStr">
        <is>
          <t>裁缝技巧</t>
        </is>
      </c>
      <c r="C342" s="20" t="n">
        <v>38</v>
      </c>
      <c r="G342" s="20" t="n">
        <v>0</v>
      </c>
      <c r="H342" s="20" t="n">
        <v>28</v>
      </c>
      <c r="J342" s="20" t="n">
        <v>1</v>
      </c>
      <c r="L342" s="20" t="n">
        <v>39468</v>
      </c>
    </row>
    <row r="343" customFormat="1" s="20">
      <c r="A343" s="20" t="n">
        <v>4904</v>
      </c>
      <c r="B343" s="20" t="inlineStr">
        <is>
          <t>裁缝技巧</t>
        </is>
      </c>
      <c r="C343" s="20" t="n">
        <v>39</v>
      </c>
      <c r="G343" s="20" t="n">
        <v>0</v>
      </c>
      <c r="H343" s="20" t="n">
        <v>29</v>
      </c>
      <c r="J343" s="20" t="n">
        <v>1</v>
      </c>
      <c r="L343" s="20" t="n">
        <v>42744</v>
      </c>
    </row>
    <row r="344" customFormat="1" s="20">
      <c r="A344" s="20" t="n">
        <v>4904</v>
      </c>
      <c r="B344" s="20" t="inlineStr">
        <is>
          <t>裁缝技巧</t>
        </is>
      </c>
      <c r="C344" s="20" t="n">
        <v>40</v>
      </c>
      <c r="G344" s="20" t="n">
        <v>0</v>
      </c>
      <c r="H344" s="20" t="n">
        <v>30</v>
      </c>
      <c r="J344" s="20" t="n">
        <v>1</v>
      </c>
      <c r="L344" s="20" t="n">
        <v>42936</v>
      </c>
    </row>
    <row r="345" customFormat="1" s="20">
      <c r="A345" s="20" t="n">
        <v>4904</v>
      </c>
      <c r="B345" s="20" t="inlineStr">
        <is>
          <t>裁缝技巧</t>
        </is>
      </c>
      <c r="C345" s="20" t="n">
        <v>41</v>
      </c>
      <c r="G345" s="20" t="n">
        <v>0</v>
      </c>
      <c r="H345" s="20" t="n">
        <v>31</v>
      </c>
      <c r="J345" s="20" t="n">
        <v>3</v>
      </c>
      <c r="L345" s="20" t="n">
        <v>46216</v>
      </c>
    </row>
    <row r="346" customFormat="1" s="20">
      <c r="A346" s="20" t="n">
        <v>4904</v>
      </c>
      <c r="B346" s="20" t="inlineStr">
        <is>
          <t>裁缝技巧</t>
        </is>
      </c>
      <c r="C346" s="20" t="n">
        <v>42</v>
      </c>
      <c r="G346" s="20" t="n">
        <v>0</v>
      </c>
      <c r="H346" s="20" t="n">
        <v>32</v>
      </c>
      <c r="J346" s="20" t="n">
        <v>6</v>
      </c>
      <c r="L346" s="20" t="n">
        <v>47168</v>
      </c>
    </row>
    <row r="347" customFormat="1" s="20">
      <c r="A347" s="20" t="n">
        <v>4904</v>
      </c>
      <c r="B347" s="20" t="inlineStr">
        <is>
          <t>裁缝技巧</t>
        </is>
      </c>
      <c r="C347" s="20" t="n">
        <v>43</v>
      </c>
      <c r="G347" s="20" t="n">
        <v>0</v>
      </c>
      <c r="H347" s="20" t="n">
        <v>33</v>
      </c>
      <c r="J347" s="20" t="n">
        <v>9</v>
      </c>
      <c r="L347" s="20" t="n">
        <v>49896</v>
      </c>
    </row>
    <row r="348" customFormat="1" s="20">
      <c r="A348" s="20" t="n">
        <v>4904</v>
      </c>
      <c r="B348" s="20" t="inlineStr">
        <is>
          <t>裁缝技巧</t>
        </is>
      </c>
      <c r="C348" s="20" t="n">
        <v>44</v>
      </c>
      <c r="G348" s="20" t="n">
        <v>0</v>
      </c>
      <c r="H348" s="20" t="n">
        <v>34</v>
      </c>
      <c r="J348" s="20" t="n">
        <v>12</v>
      </c>
      <c r="L348" s="20" t="n">
        <v>51632</v>
      </c>
    </row>
    <row r="349" customFormat="1" s="20">
      <c r="A349" s="20" t="n">
        <v>4904</v>
      </c>
      <c r="B349" s="20" t="inlineStr">
        <is>
          <t>裁缝技巧</t>
        </is>
      </c>
      <c r="C349" s="20" t="n">
        <v>45</v>
      </c>
      <c r="G349" s="20" t="n">
        <v>0</v>
      </c>
      <c r="H349" s="20" t="n">
        <v>35</v>
      </c>
      <c r="J349" s="20" t="n">
        <v>15</v>
      </c>
      <c r="L349" s="20" t="n">
        <v>53788</v>
      </c>
    </row>
    <row r="350" customFormat="1" s="20">
      <c r="A350" s="20" t="n">
        <v>4904</v>
      </c>
      <c r="B350" s="20" t="inlineStr">
        <is>
          <t>裁缝技巧</t>
        </is>
      </c>
      <c r="C350" s="20" t="n">
        <v>46</v>
      </c>
      <c r="G350" s="20" t="n">
        <v>0</v>
      </c>
      <c r="H350" s="20" t="n">
        <v>36</v>
      </c>
      <c r="J350" s="20" t="n">
        <v>18</v>
      </c>
      <c r="L350" s="20" t="n">
        <v>56416</v>
      </c>
    </row>
    <row r="351" customFormat="1" s="20">
      <c r="A351" s="20" t="n">
        <v>4904</v>
      </c>
      <c r="B351" s="20" t="inlineStr">
        <is>
          <t>裁缝技巧</t>
        </is>
      </c>
      <c r="C351" s="20" t="n">
        <v>47</v>
      </c>
      <c r="G351" s="20" t="n">
        <v>0</v>
      </c>
      <c r="H351" s="20" t="n">
        <v>37</v>
      </c>
      <c r="J351" s="20" t="n">
        <v>21</v>
      </c>
      <c r="L351" s="20" t="n">
        <v>57904</v>
      </c>
    </row>
    <row r="352" customFormat="1" s="20">
      <c r="A352" s="20" t="n">
        <v>4904</v>
      </c>
      <c r="B352" s="20" t="inlineStr">
        <is>
          <t>裁缝技巧</t>
        </is>
      </c>
      <c r="C352" s="20" t="n">
        <v>48</v>
      </c>
      <c r="G352" s="20" t="n">
        <v>0</v>
      </c>
      <c r="H352" s="20" t="n">
        <v>38</v>
      </c>
      <c r="J352" s="20" t="n">
        <v>24</v>
      </c>
      <c r="L352" s="20" t="n">
        <v>61528</v>
      </c>
    </row>
    <row r="353" customFormat="1" s="20">
      <c r="A353" s="20" t="n">
        <v>4904</v>
      </c>
      <c r="B353" s="20" t="inlineStr">
        <is>
          <t>裁缝技巧</t>
        </is>
      </c>
      <c r="C353" s="20" t="n">
        <v>49</v>
      </c>
      <c r="G353" s="20" t="n">
        <v>0</v>
      </c>
      <c r="H353" s="20" t="n">
        <v>39</v>
      </c>
      <c r="J353" s="20" t="n">
        <v>27</v>
      </c>
      <c r="L353" s="20" t="n">
        <v>62248</v>
      </c>
    </row>
    <row r="354" customFormat="1" s="20">
      <c r="A354" s="20" t="n">
        <v>4904</v>
      </c>
      <c r="B354" s="20" t="inlineStr">
        <is>
          <t>裁缝技巧</t>
        </is>
      </c>
      <c r="C354" s="20" t="n">
        <v>50</v>
      </c>
      <c r="G354" s="20" t="n">
        <v>0</v>
      </c>
      <c r="H354" s="20" t="n">
        <v>40</v>
      </c>
      <c r="J354" s="20" t="n">
        <v>30</v>
      </c>
      <c r="L354" s="20" t="n">
        <v>66836</v>
      </c>
    </row>
    <row r="355" customFormat="1" s="20">
      <c r="A355" s="20" t="n">
        <v>4904</v>
      </c>
      <c r="B355" s="20" t="inlineStr">
        <is>
          <t>裁缝技巧</t>
        </is>
      </c>
      <c r="C355" s="20" t="n">
        <v>51</v>
      </c>
      <c r="G355" s="20" t="n">
        <v>0</v>
      </c>
      <c r="H355" s="20" t="n">
        <v>41</v>
      </c>
      <c r="J355" s="20" t="n">
        <v>33</v>
      </c>
      <c r="L355" s="20" t="n">
        <v>71668</v>
      </c>
    </row>
    <row r="356" customFormat="1" s="20">
      <c r="A356" s="20" t="n">
        <v>4904</v>
      </c>
      <c r="B356" s="20" t="inlineStr">
        <is>
          <t>裁缝技巧</t>
        </is>
      </c>
      <c r="C356" s="20" t="n">
        <v>52</v>
      </c>
      <c r="G356" s="20" t="n">
        <v>0</v>
      </c>
      <c r="H356" s="20" t="n">
        <v>42</v>
      </c>
      <c r="J356" s="20" t="n">
        <v>36</v>
      </c>
      <c r="L356" s="20" t="n">
        <v>76760</v>
      </c>
    </row>
    <row r="357" customFormat="1" s="20">
      <c r="A357" s="20" t="n">
        <v>4904</v>
      </c>
      <c r="B357" s="20" t="inlineStr">
        <is>
          <t>裁缝技巧</t>
        </is>
      </c>
      <c r="C357" s="20" t="n">
        <v>53</v>
      </c>
      <c r="G357" s="20" t="n">
        <v>0</v>
      </c>
      <c r="H357" s="20" t="n">
        <v>43</v>
      </c>
      <c r="J357" s="20" t="n">
        <v>39</v>
      </c>
      <c r="L357" s="20" t="n">
        <v>82116</v>
      </c>
    </row>
    <row r="358" customFormat="1" s="20">
      <c r="A358" s="20" t="n">
        <v>4904</v>
      </c>
      <c r="B358" s="20" t="inlineStr">
        <is>
          <t>裁缝技巧</t>
        </is>
      </c>
      <c r="C358" s="20" t="n">
        <v>54</v>
      </c>
      <c r="G358" s="20" t="n">
        <v>0</v>
      </c>
      <c r="H358" s="20" t="n">
        <v>44</v>
      </c>
      <c r="J358" s="20" t="n">
        <v>42</v>
      </c>
      <c r="L358" s="20" t="n">
        <v>87744</v>
      </c>
    </row>
    <row r="359" customFormat="1" s="20">
      <c r="A359" s="20" t="n">
        <v>4904</v>
      </c>
      <c r="B359" s="20" t="inlineStr">
        <is>
          <t>裁缝技巧</t>
        </is>
      </c>
      <c r="C359" s="20" t="n">
        <v>55</v>
      </c>
      <c r="G359" s="20" t="n">
        <v>0</v>
      </c>
      <c r="H359" s="20" t="n">
        <v>45</v>
      </c>
      <c r="J359" s="20" t="n">
        <v>45</v>
      </c>
      <c r="L359" s="20" t="n">
        <v>93656</v>
      </c>
    </row>
    <row r="360" customFormat="1" s="20">
      <c r="A360" s="20" t="n">
        <v>4904</v>
      </c>
      <c r="B360" s="20" t="inlineStr">
        <is>
          <t>裁缝技巧</t>
        </is>
      </c>
      <c r="C360" s="20" t="n">
        <v>56</v>
      </c>
      <c r="G360" s="20" t="n">
        <v>0</v>
      </c>
      <c r="H360" s="20" t="n">
        <v>46</v>
      </c>
      <c r="J360" s="20" t="n">
        <v>48</v>
      </c>
      <c r="L360" s="20" t="n">
        <v>99864</v>
      </c>
    </row>
    <row r="361" customFormat="1" s="20">
      <c r="A361" s="20" t="n">
        <v>4904</v>
      </c>
      <c r="B361" s="20" t="inlineStr">
        <is>
          <t>裁缝技巧</t>
        </is>
      </c>
      <c r="C361" s="20" t="n">
        <v>57</v>
      </c>
      <c r="G361" s="20" t="n">
        <v>0</v>
      </c>
      <c r="H361" s="20" t="n">
        <v>47</v>
      </c>
      <c r="J361" s="20" t="n">
        <v>51</v>
      </c>
      <c r="L361" s="20" t="n">
        <v>106372</v>
      </c>
    </row>
    <row r="362" customFormat="1" s="20">
      <c r="A362" s="20" t="n">
        <v>4904</v>
      </c>
      <c r="B362" s="20" t="inlineStr">
        <is>
          <t>裁缝技巧</t>
        </is>
      </c>
      <c r="C362" s="20" t="n">
        <v>58</v>
      </c>
      <c r="G362" s="20" t="n">
        <v>0</v>
      </c>
      <c r="H362" s="20" t="n">
        <v>48</v>
      </c>
      <c r="J362" s="20" t="n">
        <v>54</v>
      </c>
      <c r="L362" s="20" t="n">
        <v>113192</v>
      </c>
    </row>
    <row r="363" customFormat="1" s="20">
      <c r="A363" s="20" t="n">
        <v>4904</v>
      </c>
      <c r="B363" s="20" t="inlineStr">
        <is>
          <t>裁缝技巧</t>
        </is>
      </c>
      <c r="C363" s="20" t="n">
        <v>59</v>
      </c>
      <c r="G363" s="20" t="n">
        <v>0</v>
      </c>
      <c r="H363" s="20" t="n">
        <v>49</v>
      </c>
      <c r="J363" s="20" t="n">
        <v>57</v>
      </c>
      <c r="L363" s="20" t="n">
        <v>120336</v>
      </c>
    </row>
    <row r="364" customFormat="1" s="20">
      <c r="A364" s="20" t="n">
        <v>4904</v>
      </c>
      <c r="B364" s="20" t="inlineStr">
        <is>
          <t>裁缝技巧</t>
        </is>
      </c>
      <c r="C364" s="20" t="n">
        <v>60</v>
      </c>
      <c r="G364" s="20" t="n">
        <v>0</v>
      </c>
      <c r="H364" s="20" t="n">
        <v>50</v>
      </c>
      <c r="J364" s="20" t="n">
        <v>60</v>
      </c>
      <c r="L364" s="20" t="n">
        <v>127808</v>
      </c>
    </row>
    <row r="365" customFormat="1" s="20">
      <c r="A365" s="20" t="n">
        <v>4904</v>
      </c>
      <c r="B365" s="20" t="inlineStr">
        <is>
          <t>裁缝技巧</t>
        </is>
      </c>
      <c r="C365" s="20" t="n">
        <v>61</v>
      </c>
      <c r="G365" s="20" t="n">
        <v>1000</v>
      </c>
      <c r="H365" s="20" t="n">
        <v>51</v>
      </c>
      <c r="J365" s="20" t="n">
        <v>65</v>
      </c>
      <c r="L365" s="20" t="n">
        <v>135620</v>
      </c>
    </row>
    <row r="366" customFormat="1" s="20">
      <c r="A366" s="20" t="n">
        <v>4904</v>
      </c>
      <c r="B366" s="20" t="inlineStr">
        <is>
          <t>裁缝技巧</t>
        </is>
      </c>
      <c r="C366" s="20" t="n">
        <v>62</v>
      </c>
      <c r="G366" s="20" t="n">
        <v>1500</v>
      </c>
      <c r="H366" s="20" t="n">
        <v>52</v>
      </c>
      <c r="J366" s="20" t="n">
        <v>70</v>
      </c>
      <c r="L366" s="20" t="n">
        <v>143784</v>
      </c>
    </row>
    <row r="367" customFormat="1" s="20">
      <c r="A367" s="20" t="n">
        <v>4904</v>
      </c>
      <c r="B367" s="20" t="inlineStr">
        <is>
          <t>裁缝技巧</t>
        </is>
      </c>
      <c r="C367" s="20" t="n">
        <v>63</v>
      </c>
      <c r="G367" s="20" t="n">
        <v>2000</v>
      </c>
      <c r="H367" s="20" t="n">
        <v>53</v>
      </c>
      <c r="J367" s="20" t="n">
        <v>75</v>
      </c>
      <c r="L367" s="20" t="n">
        <v>152308</v>
      </c>
    </row>
    <row r="368" customFormat="1" s="20">
      <c r="A368" s="20" t="n">
        <v>4904</v>
      </c>
      <c r="B368" s="20" t="inlineStr">
        <is>
          <t>裁缝技巧</t>
        </is>
      </c>
      <c r="C368" s="20" t="n">
        <v>64</v>
      </c>
      <c r="G368" s="20" t="n">
        <v>2500</v>
      </c>
      <c r="H368" s="20" t="n">
        <v>54</v>
      </c>
      <c r="J368" s="20" t="n">
        <v>80</v>
      </c>
      <c r="L368" s="20" t="n">
        <v>161208</v>
      </c>
    </row>
    <row r="369" customFormat="1" s="20">
      <c r="A369" s="20" t="n">
        <v>4904</v>
      </c>
      <c r="B369" s="20" t="inlineStr">
        <is>
          <t>裁缝技巧</t>
        </is>
      </c>
      <c r="C369" s="20" t="n">
        <v>65</v>
      </c>
      <c r="G369" s="20" t="n">
        <v>3000</v>
      </c>
      <c r="H369" s="20" t="n">
        <v>55</v>
      </c>
      <c r="J369" s="20" t="n">
        <v>85</v>
      </c>
      <c r="L369" s="20" t="n">
        <v>170488</v>
      </c>
    </row>
    <row r="370" customFormat="1" s="20">
      <c r="A370" s="20" t="n">
        <v>4904</v>
      </c>
      <c r="B370" s="20" t="inlineStr">
        <is>
          <t>裁缝技巧</t>
        </is>
      </c>
      <c r="C370" s="20" t="n">
        <v>66</v>
      </c>
      <c r="G370" s="20" t="n">
        <v>3500</v>
      </c>
      <c r="H370" s="20" t="n">
        <v>56</v>
      </c>
      <c r="J370" s="20" t="n">
        <v>90</v>
      </c>
      <c r="L370" s="20" t="n">
        <v>180164</v>
      </c>
    </row>
    <row r="371" customFormat="1" s="20">
      <c r="A371" s="20" t="n">
        <v>4904</v>
      </c>
      <c r="B371" s="20" t="inlineStr">
        <is>
          <t>裁缝技巧</t>
        </is>
      </c>
      <c r="C371" s="20" t="n">
        <v>67</v>
      </c>
      <c r="G371" s="20" t="n">
        <v>4000</v>
      </c>
      <c r="H371" s="20" t="n">
        <v>57</v>
      </c>
      <c r="J371" s="20" t="n">
        <v>95</v>
      </c>
      <c r="L371" s="20" t="n">
        <v>190244</v>
      </c>
    </row>
    <row r="372" customFormat="1" s="20">
      <c r="A372" s="20" t="n">
        <v>4904</v>
      </c>
      <c r="B372" s="20" t="inlineStr">
        <is>
          <t>裁缝技巧</t>
        </is>
      </c>
      <c r="C372" s="20" t="n">
        <v>68</v>
      </c>
      <c r="G372" s="20" t="n">
        <v>4500</v>
      </c>
      <c r="H372" s="20" t="n">
        <v>58</v>
      </c>
      <c r="J372" s="20" t="n">
        <v>100</v>
      </c>
      <c r="L372" s="20" t="n">
        <v>200740</v>
      </c>
    </row>
    <row r="373" customFormat="1" s="20">
      <c r="A373" s="20" t="n">
        <v>4904</v>
      </c>
      <c r="B373" s="20" t="inlineStr">
        <is>
          <t>裁缝技巧</t>
        </is>
      </c>
      <c r="C373" s="20" t="n">
        <v>69</v>
      </c>
      <c r="G373" s="20" t="n">
        <v>5000</v>
      </c>
      <c r="H373" s="20" t="n">
        <v>59</v>
      </c>
      <c r="J373" s="20" t="n">
        <v>105</v>
      </c>
      <c r="L373" s="20" t="n">
        <v>211656</v>
      </c>
    </row>
    <row r="374" customFormat="1" s="20">
      <c r="A374" s="20" t="n">
        <v>4904</v>
      </c>
      <c r="B374" s="20" t="inlineStr">
        <is>
          <t>裁缝技巧</t>
        </is>
      </c>
      <c r="C374" s="20" t="n">
        <v>70</v>
      </c>
      <c r="G374" s="20" t="n">
        <v>5500</v>
      </c>
      <c r="H374" s="20" t="n">
        <v>60</v>
      </c>
      <c r="J374" s="20" t="n">
        <v>110</v>
      </c>
      <c r="L374" s="20" t="n">
        <v>223016</v>
      </c>
    </row>
    <row r="375" customFormat="1" s="20">
      <c r="A375" s="20" t="n">
        <v>4904</v>
      </c>
      <c r="B375" s="20" t="inlineStr">
        <is>
          <t>裁缝技巧</t>
        </is>
      </c>
      <c r="C375" s="20" t="n">
        <v>71</v>
      </c>
      <c r="G375" s="20" t="n">
        <v>6000</v>
      </c>
      <c r="H375" s="20" t="n">
        <v>61</v>
      </c>
      <c r="J375" s="20" t="n">
        <v>115</v>
      </c>
      <c r="L375" s="20" t="n">
        <v>234828</v>
      </c>
    </row>
    <row r="376" customFormat="1" s="20">
      <c r="A376" s="20" t="n">
        <v>4904</v>
      </c>
      <c r="B376" s="20" t="inlineStr">
        <is>
          <t>裁缝技巧</t>
        </is>
      </c>
      <c r="C376" s="20" t="n">
        <v>72</v>
      </c>
      <c r="G376" s="20" t="n">
        <v>6500</v>
      </c>
      <c r="H376" s="20" t="n">
        <v>62</v>
      </c>
      <c r="J376" s="20" t="n">
        <v>120</v>
      </c>
      <c r="L376" s="20" t="n">
        <v>247096</v>
      </c>
    </row>
    <row r="377" customFormat="1" s="20">
      <c r="A377" s="20" t="n">
        <v>4904</v>
      </c>
      <c r="B377" s="20" t="inlineStr">
        <is>
          <t>裁缝技巧</t>
        </is>
      </c>
      <c r="C377" s="20" t="n">
        <v>73</v>
      </c>
      <c r="G377" s="20" t="n">
        <v>7000</v>
      </c>
      <c r="H377" s="20" t="n">
        <v>63</v>
      </c>
      <c r="J377" s="20" t="n">
        <v>125</v>
      </c>
      <c r="L377" s="20" t="n">
        <v>259840</v>
      </c>
    </row>
    <row r="378" customFormat="1" s="20">
      <c r="A378" s="20" t="n">
        <v>4904</v>
      </c>
      <c r="B378" s="20" t="inlineStr">
        <is>
          <t>裁缝技巧</t>
        </is>
      </c>
      <c r="C378" s="20" t="n">
        <v>74</v>
      </c>
      <c r="G378" s="20" t="n">
        <v>7500</v>
      </c>
      <c r="H378" s="20" t="n">
        <v>64</v>
      </c>
      <c r="J378" s="20" t="n">
        <v>130</v>
      </c>
      <c r="L378" s="20" t="n">
        <v>273064</v>
      </c>
    </row>
    <row r="379" customFormat="1" s="20">
      <c r="A379" s="20" t="n">
        <v>4904</v>
      </c>
      <c r="B379" s="20" t="inlineStr">
        <is>
          <t>裁缝技巧</t>
        </is>
      </c>
      <c r="C379" s="20" t="n">
        <v>75</v>
      </c>
      <c r="G379" s="20" t="n">
        <v>8000</v>
      </c>
      <c r="H379" s="20" t="n">
        <v>65</v>
      </c>
      <c r="J379" s="20" t="n">
        <v>135</v>
      </c>
      <c r="L379" s="20" t="n">
        <v>286788</v>
      </c>
    </row>
    <row r="380" customFormat="1" s="20">
      <c r="A380" s="20" t="n">
        <v>4904</v>
      </c>
      <c r="B380" s="20" t="inlineStr">
        <is>
          <t>裁缝技巧</t>
        </is>
      </c>
      <c r="C380" s="20" t="n">
        <v>76</v>
      </c>
      <c r="G380" s="20" t="n">
        <v>8500</v>
      </c>
      <c r="H380" s="20" t="n">
        <v>66</v>
      </c>
      <c r="J380" s="20" t="n">
        <v>140</v>
      </c>
      <c r="L380" s="20" t="n">
        <v>301024</v>
      </c>
    </row>
    <row r="381" customFormat="1" s="20">
      <c r="A381" s="20" t="n">
        <v>4904</v>
      </c>
      <c r="B381" s="20" t="inlineStr">
        <is>
          <t>裁缝技巧</t>
        </is>
      </c>
      <c r="C381" s="20" t="n">
        <v>77</v>
      </c>
      <c r="G381" s="20" t="n">
        <v>9000</v>
      </c>
      <c r="H381" s="20" t="n">
        <v>67</v>
      </c>
      <c r="J381" s="20" t="n">
        <v>145</v>
      </c>
      <c r="L381" s="20" t="n">
        <v>315776</v>
      </c>
    </row>
    <row r="382" customFormat="1" s="20">
      <c r="A382" s="20" t="n">
        <v>4904</v>
      </c>
      <c r="B382" s="20" t="inlineStr">
        <is>
          <t>裁缝技巧</t>
        </is>
      </c>
      <c r="C382" s="20" t="n">
        <v>78</v>
      </c>
      <c r="G382" s="20" t="n">
        <v>9500</v>
      </c>
      <c r="H382" s="20" t="n">
        <v>68</v>
      </c>
      <c r="J382" s="20" t="n">
        <v>150</v>
      </c>
      <c r="L382" s="20" t="n">
        <v>331064</v>
      </c>
    </row>
    <row r="383" customFormat="1" s="20">
      <c r="A383" s="20" t="n">
        <v>4904</v>
      </c>
      <c r="B383" s="20" t="inlineStr">
        <is>
          <t>裁缝技巧</t>
        </is>
      </c>
      <c r="C383" s="20" t="n">
        <v>79</v>
      </c>
      <c r="G383" s="20" t="n">
        <v>10000</v>
      </c>
      <c r="H383" s="20" t="n">
        <v>69</v>
      </c>
      <c r="J383" s="20" t="n">
        <v>155</v>
      </c>
      <c r="L383" s="20" t="n">
        <v>346896</v>
      </c>
    </row>
    <row r="384" customFormat="1" s="20">
      <c r="A384" s="20" t="n">
        <v>4904</v>
      </c>
      <c r="B384" s="20" t="inlineStr">
        <is>
          <t>裁缝技巧</t>
        </is>
      </c>
      <c r="C384" s="20" t="n">
        <v>80</v>
      </c>
      <c r="G384" s="20" t="n">
        <v>10500</v>
      </c>
      <c r="H384" s="20" t="n">
        <v>70</v>
      </c>
      <c r="J384" s="20" t="n">
        <v>165</v>
      </c>
      <c r="L384" s="20" t="n">
        <v>363292</v>
      </c>
    </row>
    <row r="385" customFormat="1" s="20">
      <c r="A385" s="20" t="n">
        <v>4904</v>
      </c>
      <c r="B385" s="20" t="inlineStr">
        <is>
          <t>裁缝技巧</t>
        </is>
      </c>
      <c r="C385" s="20" t="n">
        <v>81</v>
      </c>
      <c r="G385" s="20" t="n">
        <v>11000</v>
      </c>
      <c r="H385" s="20" t="n">
        <v>71</v>
      </c>
      <c r="J385" s="20" t="n">
        <v>175</v>
      </c>
      <c r="L385" s="20" t="n">
        <v>380260</v>
      </c>
    </row>
    <row r="386" customFormat="1" s="20">
      <c r="A386" s="20" t="n">
        <v>4904</v>
      </c>
      <c r="B386" s="20" t="inlineStr">
        <is>
          <t>裁缝技巧</t>
        </is>
      </c>
      <c r="C386" s="20" t="n">
        <v>82</v>
      </c>
      <c r="G386" s="20" t="n">
        <v>11500</v>
      </c>
      <c r="H386" s="20" t="n">
        <v>72</v>
      </c>
      <c r="J386" s="20" t="n">
        <v>185</v>
      </c>
      <c r="L386" s="20" t="n">
        <v>397808</v>
      </c>
    </row>
    <row r="387" customFormat="1" s="20">
      <c r="A387" s="20" t="n">
        <v>4904</v>
      </c>
      <c r="B387" s="20" t="inlineStr">
        <is>
          <t>裁缝技巧</t>
        </is>
      </c>
      <c r="C387" s="20" t="n">
        <v>83</v>
      </c>
      <c r="G387" s="20" t="n">
        <v>12000</v>
      </c>
      <c r="H387" s="20" t="n">
        <v>73</v>
      </c>
      <c r="J387" s="20" t="n">
        <v>195</v>
      </c>
      <c r="L387" s="20" t="n">
        <v>415964</v>
      </c>
    </row>
    <row r="388" customFormat="1" s="20">
      <c r="A388" s="20" t="n">
        <v>4904</v>
      </c>
      <c r="B388" s="20" t="inlineStr">
        <is>
          <t>裁缝技巧</t>
        </is>
      </c>
      <c r="C388" s="20" t="n">
        <v>84</v>
      </c>
      <c r="G388" s="20" t="n">
        <v>12500</v>
      </c>
      <c r="H388" s="20" t="n">
        <v>74</v>
      </c>
      <c r="J388" s="20" t="n">
        <v>205</v>
      </c>
      <c r="L388" s="20" t="n">
        <v>434724</v>
      </c>
    </row>
    <row r="389" customFormat="1" s="20">
      <c r="A389" s="20" t="n">
        <v>4904</v>
      </c>
      <c r="B389" s="20" t="inlineStr">
        <is>
          <t>裁缝技巧</t>
        </is>
      </c>
      <c r="C389" s="20" t="n">
        <v>85</v>
      </c>
      <c r="G389" s="20" t="n">
        <v>13000</v>
      </c>
      <c r="H389" s="20" t="n">
        <v>75</v>
      </c>
      <c r="J389" s="20" t="n">
        <v>215</v>
      </c>
      <c r="L389" s="20" t="n">
        <v>454112</v>
      </c>
    </row>
    <row r="390" customFormat="1" s="20">
      <c r="A390" s="20" t="n">
        <v>4904</v>
      </c>
      <c r="B390" s="20" t="inlineStr">
        <is>
          <t>裁缝技巧</t>
        </is>
      </c>
      <c r="C390" s="20" t="n">
        <v>86</v>
      </c>
      <c r="G390" s="20" t="n">
        <v>13500</v>
      </c>
      <c r="H390" s="20" t="n">
        <v>76</v>
      </c>
      <c r="J390" s="20" t="n">
        <v>225</v>
      </c>
      <c r="L390" s="20" t="n">
        <v>474140</v>
      </c>
    </row>
    <row r="391" customFormat="1" s="20">
      <c r="A391" s="20" t="n">
        <v>4904</v>
      </c>
      <c r="B391" s="20" t="inlineStr">
        <is>
          <t>裁缝技巧</t>
        </is>
      </c>
      <c r="C391" s="20" t="n">
        <v>87</v>
      </c>
      <c r="G391" s="20" t="n">
        <v>14000</v>
      </c>
      <c r="H391" s="20" t="n">
        <v>77</v>
      </c>
      <c r="J391" s="20" t="n">
        <v>235</v>
      </c>
      <c r="L391" s="20" t="n">
        <v>494820</v>
      </c>
    </row>
    <row r="392" customFormat="1" s="20">
      <c r="A392" s="20" t="n">
        <v>4904</v>
      </c>
      <c r="B392" s="20" t="inlineStr">
        <is>
          <t>裁缝技巧</t>
        </is>
      </c>
      <c r="C392" s="20" t="n">
        <v>88</v>
      </c>
      <c r="G392" s="20" t="n">
        <v>14500</v>
      </c>
      <c r="H392" s="20" t="n">
        <v>78</v>
      </c>
      <c r="J392" s="20" t="n">
        <v>245</v>
      </c>
      <c r="L392" s="20" t="n">
        <v>516168</v>
      </c>
    </row>
    <row r="393" customFormat="1" s="20">
      <c r="A393" s="20" t="n">
        <v>4904</v>
      </c>
      <c r="B393" s="20" t="inlineStr">
        <is>
          <t>裁缝技巧</t>
        </is>
      </c>
      <c r="C393" s="20" t="n">
        <v>89</v>
      </c>
      <c r="G393" s="20" t="n">
        <v>15000</v>
      </c>
      <c r="H393" s="20" t="n">
        <v>79</v>
      </c>
      <c r="J393" s="20" t="n">
        <v>255</v>
      </c>
      <c r="L393" s="20" t="n">
        <v>538200</v>
      </c>
    </row>
    <row r="394" customFormat="1" s="20">
      <c r="A394" s="20" t="n">
        <v>4904</v>
      </c>
      <c r="B394" s="20" t="inlineStr">
        <is>
          <t>裁缝技巧</t>
        </is>
      </c>
      <c r="C394" s="20" t="n">
        <v>90</v>
      </c>
      <c r="G394" s="20" t="n">
        <v>15500</v>
      </c>
      <c r="H394" s="20" t="n">
        <v>80</v>
      </c>
      <c r="J394" s="20" t="n">
        <v>265</v>
      </c>
      <c r="L394" s="20" t="n">
        <v>560924</v>
      </c>
    </row>
    <row r="395" customFormat="1" s="20">
      <c r="A395" s="20" t="n">
        <v>4904</v>
      </c>
      <c r="B395" s="20" t="inlineStr">
        <is>
          <t>裁缝技巧</t>
        </is>
      </c>
      <c r="C395" s="20" t="n">
        <v>91</v>
      </c>
      <c r="G395" s="20" t="n">
        <v>16000</v>
      </c>
      <c r="H395" s="20" t="n">
        <v>81</v>
      </c>
      <c r="J395" s="20" t="n">
        <v>275</v>
      </c>
      <c r="L395" s="20" t="n">
        <v>584356</v>
      </c>
    </row>
    <row r="396" customFormat="1" s="20">
      <c r="A396" s="20" t="n">
        <v>4904</v>
      </c>
      <c r="B396" s="20" t="inlineStr">
        <is>
          <t>裁缝技巧</t>
        </is>
      </c>
      <c r="C396" s="20" t="n">
        <v>92</v>
      </c>
      <c r="G396" s="20" t="n">
        <v>16500</v>
      </c>
      <c r="H396" s="20" t="n">
        <v>82</v>
      </c>
      <c r="J396" s="20" t="n">
        <v>285</v>
      </c>
      <c r="L396" s="20" t="n">
        <v>608516</v>
      </c>
    </row>
    <row r="397" customFormat="1" s="20">
      <c r="A397" s="20" t="n">
        <v>4904</v>
      </c>
      <c r="B397" s="20" t="inlineStr">
        <is>
          <t>裁缝技巧</t>
        </is>
      </c>
      <c r="C397" s="20" t="n">
        <v>93</v>
      </c>
      <c r="G397" s="20" t="n">
        <v>17000</v>
      </c>
      <c r="H397" s="20" t="n">
        <v>83</v>
      </c>
      <c r="J397" s="20" t="n">
        <v>295</v>
      </c>
      <c r="L397" s="20" t="n">
        <v>633416</v>
      </c>
    </row>
    <row r="398" customFormat="1" s="20">
      <c r="A398" s="20" t="n">
        <v>4904</v>
      </c>
      <c r="B398" s="20" t="inlineStr">
        <is>
          <t>裁缝技巧</t>
        </is>
      </c>
      <c r="C398" s="20" t="n">
        <v>94</v>
      </c>
      <c r="G398" s="20" t="n">
        <v>17500</v>
      </c>
      <c r="H398" s="20" t="n">
        <v>84</v>
      </c>
      <c r="J398" s="20" t="n">
        <v>305</v>
      </c>
      <c r="L398" s="20" t="n">
        <v>659064</v>
      </c>
    </row>
    <row r="399" customFormat="1" s="20">
      <c r="A399" s="20" t="n">
        <v>4904</v>
      </c>
      <c r="B399" s="20" t="inlineStr">
        <is>
          <t>裁缝技巧</t>
        </is>
      </c>
      <c r="C399" s="20" t="n">
        <v>95</v>
      </c>
      <c r="G399" s="20" t="n">
        <v>18000</v>
      </c>
      <c r="H399" s="20" t="n">
        <v>85</v>
      </c>
      <c r="J399" s="20" t="n">
        <v>315</v>
      </c>
      <c r="L399" s="20" t="n">
        <v>685488</v>
      </c>
    </row>
    <row r="400" customFormat="1" s="20">
      <c r="A400" s="20" t="n">
        <v>4904</v>
      </c>
      <c r="B400" s="20" t="inlineStr">
        <is>
          <t>裁缝技巧</t>
        </is>
      </c>
      <c r="C400" s="20" t="n">
        <v>96</v>
      </c>
      <c r="G400" s="20" t="n">
        <v>18500</v>
      </c>
      <c r="H400" s="20" t="n">
        <v>86</v>
      </c>
      <c r="J400" s="20" t="n">
        <v>325</v>
      </c>
      <c r="L400" s="20" t="n">
        <v>712696</v>
      </c>
    </row>
    <row r="401" customFormat="1" s="20">
      <c r="A401" s="20" t="n">
        <v>4904</v>
      </c>
      <c r="B401" s="20" t="inlineStr">
        <is>
          <t>裁缝技巧</t>
        </is>
      </c>
      <c r="C401" s="20" t="n">
        <v>97</v>
      </c>
      <c r="G401" s="20" t="n">
        <v>19000</v>
      </c>
      <c r="H401" s="20" t="n">
        <v>87</v>
      </c>
      <c r="J401" s="20" t="n">
        <v>335</v>
      </c>
      <c r="L401" s="20" t="n">
        <v>740700</v>
      </c>
    </row>
    <row r="402" customFormat="1" s="20">
      <c r="A402" s="20" t="n">
        <v>4904</v>
      </c>
      <c r="B402" s="20" t="inlineStr">
        <is>
          <t>裁缝技巧</t>
        </is>
      </c>
      <c r="C402" s="20" t="n">
        <v>98</v>
      </c>
      <c r="G402" s="20" t="n">
        <v>19500</v>
      </c>
      <c r="H402" s="20" t="n">
        <v>88</v>
      </c>
      <c r="J402" s="20" t="n">
        <v>345</v>
      </c>
      <c r="L402" s="20" t="n">
        <v>769520</v>
      </c>
    </row>
    <row r="403" customFormat="1" s="20">
      <c r="A403" s="20" t="n">
        <v>4904</v>
      </c>
      <c r="B403" s="20" t="inlineStr">
        <is>
          <t>裁缝技巧</t>
        </is>
      </c>
      <c r="C403" s="20" t="n">
        <v>99</v>
      </c>
      <c r="G403" s="20" t="n">
        <v>20000</v>
      </c>
      <c r="H403" s="20" t="n">
        <v>89</v>
      </c>
      <c r="J403" s="20" t="n">
        <v>355</v>
      </c>
      <c r="L403" s="20" t="n">
        <v>799168</v>
      </c>
    </row>
    <row r="404" customFormat="1" s="20">
      <c r="A404" s="20" t="n">
        <v>4904</v>
      </c>
      <c r="B404" s="20" t="inlineStr">
        <is>
          <t>裁缝技巧</t>
        </is>
      </c>
      <c r="C404" s="20" t="n">
        <v>100</v>
      </c>
      <c r="G404" s="20" t="n">
        <v>20500</v>
      </c>
      <c r="H404" s="20" t="n">
        <v>90</v>
      </c>
      <c r="J404" s="20" t="n">
        <v>365</v>
      </c>
      <c r="L404" s="20" t="n">
        <v>829668</v>
      </c>
    </row>
    <row r="405" customFormat="1" s="21">
      <c r="A405" s="21" t="n">
        <v>4905</v>
      </c>
      <c r="B405" s="21" t="inlineStr">
        <is>
          <t>炼金技巧</t>
        </is>
      </c>
      <c r="C405" s="21" t="n">
        <v>1</v>
      </c>
      <c r="D405" s="21" t="inlineStr">
        <is>
          <t>炼金技巧</t>
        </is>
      </c>
      <c r="E405" s="21" t="inlineStr">
        <is>
          <t>秘术士私传的炼金之术，可以提高制作饰品、靴子和腰带的能力。</t>
        </is>
      </c>
      <c r="F405" s="21" t="inlineStr">
        <is>
          <t>alchemy</t>
        </is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customFormat="1" s="21">
      <c r="A406" s="21" t="n">
        <v>4905</v>
      </c>
      <c r="B406" s="21" t="inlineStr">
        <is>
          <t>炼金技巧</t>
        </is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customFormat="1" s="21">
      <c r="A407" s="21" t="n">
        <v>4905</v>
      </c>
      <c r="B407" s="21" t="inlineStr">
        <is>
          <t>炼金技巧</t>
        </is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customFormat="1" s="21">
      <c r="A408" s="21" t="n">
        <v>4905</v>
      </c>
      <c r="B408" s="21" t="inlineStr">
        <is>
          <t>炼金技巧</t>
        </is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customFormat="1" s="21">
      <c r="A409" s="21" t="n">
        <v>4905</v>
      </c>
      <c r="B409" s="21" t="inlineStr">
        <is>
          <t>炼金技巧</t>
        </is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customFormat="1" s="21">
      <c r="A410" s="21" t="n">
        <v>4905</v>
      </c>
      <c r="B410" s="21" t="inlineStr">
        <is>
          <t>炼金技巧</t>
        </is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customFormat="1" s="21">
      <c r="A411" s="21" t="n">
        <v>4905</v>
      </c>
      <c r="B411" s="21" t="inlineStr">
        <is>
          <t>炼金技巧</t>
        </is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customFormat="1" s="21">
      <c r="A412" s="21" t="n">
        <v>4905</v>
      </c>
      <c r="B412" s="21" t="inlineStr">
        <is>
          <t>炼金技巧</t>
        </is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customFormat="1" s="21">
      <c r="A413" s="21" t="n">
        <v>4905</v>
      </c>
      <c r="B413" s="21" t="inlineStr">
        <is>
          <t>炼金技巧</t>
        </is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customFormat="1" s="21">
      <c r="A414" s="21" t="n">
        <v>4905</v>
      </c>
      <c r="B414" s="21" t="inlineStr">
        <is>
          <t>炼金技巧</t>
        </is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customFormat="1" s="21">
      <c r="A415" s="21" t="n">
        <v>4905</v>
      </c>
      <c r="B415" s="21" t="inlineStr">
        <is>
          <t>炼金技巧</t>
        </is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customFormat="1" s="21">
      <c r="A416" s="21" t="n">
        <v>4905</v>
      </c>
      <c r="B416" s="21" t="inlineStr">
        <is>
          <t>炼金技巧</t>
        </is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customFormat="1" s="21">
      <c r="A417" s="21" t="n">
        <v>4905</v>
      </c>
      <c r="B417" s="21" t="inlineStr">
        <is>
          <t>炼金技巧</t>
        </is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customFormat="1" s="21">
      <c r="A418" s="21" t="n">
        <v>4905</v>
      </c>
      <c r="B418" s="21" t="inlineStr">
        <is>
          <t>炼金技巧</t>
        </is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customFormat="1" s="21">
      <c r="A419" s="21" t="n">
        <v>4905</v>
      </c>
      <c r="B419" s="21" t="inlineStr">
        <is>
          <t>炼金技巧</t>
        </is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customFormat="1" s="21">
      <c r="A420" s="21" t="n">
        <v>4905</v>
      </c>
      <c r="B420" s="21" t="inlineStr">
        <is>
          <t>炼金技巧</t>
        </is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customFormat="1" s="21">
      <c r="A421" s="21" t="n">
        <v>4905</v>
      </c>
      <c r="B421" s="21" t="inlineStr">
        <is>
          <t>炼金技巧</t>
        </is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customFormat="1" s="21">
      <c r="A422" s="21" t="n">
        <v>4905</v>
      </c>
      <c r="B422" s="21" t="inlineStr">
        <is>
          <t>炼金技巧</t>
        </is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customFormat="1" s="21">
      <c r="A423" s="21" t="n">
        <v>4905</v>
      </c>
      <c r="B423" s="21" t="inlineStr">
        <is>
          <t>炼金技巧</t>
        </is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customFormat="1" s="21">
      <c r="A424" s="21" t="n">
        <v>4905</v>
      </c>
      <c r="B424" s="21" t="inlineStr">
        <is>
          <t>炼金技巧</t>
        </is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customFormat="1" s="21">
      <c r="A425" s="21" t="n">
        <v>4905</v>
      </c>
      <c r="B425" s="21" t="inlineStr">
        <is>
          <t>炼金技巧</t>
        </is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customFormat="1" s="21">
      <c r="A426" s="21" t="n">
        <v>4905</v>
      </c>
      <c r="B426" s="21" t="inlineStr">
        <is>
          <t>炼金技巧</t>
        </is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customFormat="1" s="21">
      <c r="A427" s="21" t="n">
        <v>4905</v>
      </c>
      <c r="B427" s="21" t="inlineStr">
        <is>
          <t>炼金技巧</t>
        </is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customFormat="1" s="21">
      <c r="A428" s="21" t="n">
        <v>4905</v>
      </c>
      <c r="B428" s="21" t="inlineStr">
        <is>
          <t>炼金技巧</t>
        </is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customFormat="1" s="21">
      <c r="A429" s="21" t="n">
        <v>4905</v>
      </c>
      <c r="B429" s="21" t="inlineStr">
        <is>
          <t>炼金技巧</t>
        </is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customFormat="1" s="21">
      <c r="A430" s="21" t="n">
        <v>4905</v>
      </c>
      <c r="B430" s="21" t="inlineStr">
        <is>
          <t>炼金技巧</t>
        </is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customFormat="1" s="21">
      <c r="A431" s="21" t="n">
        <v>4905</v>
      </c>
      <c r="B431" s="21" t="inlineStr">
        <is>
          <t>炼金技巧</t>
        </is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customFormat="1" s="21">
      <c r="A432" s="21" t="n">
        <v>4905</v>
      </c>
      <c r="B432" s="21" t="inlineStr">
        <is>
          <t>炼金技巧</t>
        </is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customFormat="1" s="21">
      <c r="A433" s="21" t="n">
        <v>4905</v>
      </c>
      <c r="B433" s="21" t="inlineStr">
        <is>
          <t>炼金技巧</t>
        </is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customFormat="1" s="21">
      <c r="A434" s="21" t="n">
        <v>4905</v>
      </c>
      <c r="B434" s="21" t="inlineStr">
        <is>
          <t>炼金技巧</t>
        </is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customFormat="1" s="21">
      <c r="A435" s="21" t="n">
        <v>4905</v>
      </c>
      <c r="B435" s="21" t="inlineStr">
        <is>
          <t>炼金技巧</t>
        </is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customFormat="1" s="21">
      <c r="A436" s="21" t="n">
        <v>4905</v>
      </c>
      <c r="B436" s="21" t="inlineStr">
        <is>
          <t>炼金技巧</t>
        </is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customFormat="1" s="21">
      <c r="A437" s="21" t="n">
        <v>4905</v>
      </c>
      <c r="B437" s="21" t="inlineStr">
        <is>
          <t>炼金技巧</t>
        </is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customFormat="1" s="21">
      <c r="A438" s="21" t="n">
        <v>4905</v>
      </c>
      <c r="B438" s="21" t="inlineStr">
        <is>
          <t>炼金技巧</t>
        </is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customFormat="1" s="21">
      <c r="A439" s="21" t="n">
        <v>4905</v>
      </c>
      <c r="B439" s="21" t="inlineStr">
        <is>
          <t>炼金技巧</t>
        </is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customFormat="1" s="21">
      <c r="A440" s="21" t="n">
        <v>4905</v>
      </c>
      <c r="B440" s="21" t="inlineStr">
        <is>
          <t>炼金技巧</t>
        </is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customFormat="1" s="21">
      <c r="A441" s="21" t="n">
        <v>4905</v>
      </c>
      <c r="B441" s="21" t="inlineStr">
        <is>
          <t>炼金技巧</t>
        </is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customFormat="1" s="21">
      <c r="A442" s="21" t="n">
        <v>4905</v>
      </c>
      <c r="B442" s="21" t="inlineStr">
        <is>
          <t>炼金技巧</t>
        </is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customFormat="1" s="21">
      <c r="A443" s="21" t="n">
        <v>4905</v>
      </c>
      <c r="B443" s="21" t="inlineStr">
        <is>
          <t>炼金技巧</t>
        </is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customFormat="1" s="21">
      <c r="A444" s="21" t="n">
        <v>4905</v>
      </c>
      <c r="B444" s="21" t="inlineStr">
        <is>
          <t>炼金技巧</t>
        </is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customFormat="1" s="21">
      <c r="A445" s="21" t="n">
        <v>4905</v>
      </c>
      <c r="B445" s="21" t="inlineStr">
        <is>
          <t>炼金技巧</t>
        </is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customFormat="1" s="21">
      <c r="A446" s="21" t="n">
        <v>4905</v>
      </c>
      <c r="B446" s="21" t="inlineStr">
        <is>
          <t>炼金技巧</t>
        </is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customFormat="1" s="21">
      <c r="A447" s="21" t="n">
        <v>4905</v>
      </c>
      <c r="B447" s="21" t="inlineStr">
        <is>
          <t>炼金技巧</t>
        </is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customFormat="1" s="21">
      <c r="A448" s="21" t="n">
        <v>4905</v>
      </c>
      <c r="B448" s="21" t="inlineStr">
        <is>
          <t>炼金技巧</t>
        </is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customFormat="1" s="21">
      <c r="A449" s="21" t="n">
        <v>4905</v>
      </c>
      <c r="B449" s="21" t="inlineStr">
        <is>
          <t>炼金技巧</t>
        </is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customFormat="1" s="21">
      <c r="A450" s="21" t="n">
        <v>4905</v>
      </c>
      <c r="B450" s="21" t="inlineStr">
        <is>
          <t>炼金技巧</t>
        </is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customFormat="1" s="21">
      <c r="A451" s="21" t="n">
        <v>4905</v>
      </c>
      <c r="B451" s="21" t="inlineStr">
        <is>
          <t>炼金技巧</t>
        </is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customFormat="1" s="21">
      <c r="A452" s="21" t="n">
        <v>4905</v>
      </c>
      <c r="B452" s="21" t="inlineStr">
        <is>
          <t>炼金技巧</t>
        </is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customFormat="1" s="21">
      <c r="A453" s="21" t="n">
        <v>4905</v>
      </c>
      <c r="B453" s="21" t="inlineStr">
        <is>
          <t>炼金技巧</t>
        </is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customFormat="1" s="21">
      <c r="A454" s="21" t="n">
        <v>4905</v>
      </c>
      <c r="B454" s="21" t="inlineStr">
        <is>
          <t>炼金技巧</t>
        </is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customFormat="1" s="21">
      <c r="A455" s="21" t="n">
        <v>4905</v>
      </c>
      <c r="B455" s="21" t="inlineStr">
        <is>
          <t>炼金技巧</t>
        </is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customFormat="1" s="21">
      <c r="A456" s="21" t="n">
        <v>4905</v>
      </c>
      <c r="B456" s="21" t="inlineStr">
        <is>
          <t>炼金技巧</t>
        </is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customFormat="1" s="21">
      <c r="A457" s="21" t="n">
        <v>4905</v>
      </c>
      <c r="B457" s="21" t="inlineStr">
        <is>
          <t>炼金技巧</t>
        </is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customFormat="1" s="21">
      <c r="A458" s="21" t="n">
        <v>4905</v>
      </c>
      <c r="B458" s="21" t="inlineStr">
        <is>
          <t>炼金技巧</t>
        </is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customFormat="1" s="21">
      <c r="A459" s="21" t="n">
        <v>4905</v>
      </c>
      <c r="B459" s="21" t="inlineStr">
        <is>
          <t>炼金技巧</t>
        </is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customFormat="1" s="21">
      <c r="A460" s="21" t="n">
        <v>4905</v>
      </c>
      <c r="B460" s="21" t="inlineStr">
        <is>
          <t>炼金技巧</t>
        </is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customFormat="1" s="21">
      <c r="A461" s="21" t="n">
        <v>4905</v>
      </c>
      <c r="B461" s="21" t="inlineStr">
        <is>
          <t>炼金技巧</t>
        </is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customFormat="1" s="21">
      <c r="A462" s="21" t="n">
        <v>4905</v>
      </c>
      <c r="B462" s="21" t="inlineStr">
        <is>
          <t>炼金技巧</t>
        </is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customFormat="1" s="21">
      <c r="A463" s="21" t="n">
        <v>4905</v>
      </c>
      <c r="B463" s="21" t="inlineStr">
        <is>
          <t>炼金技巧</t>
        </is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customFormat="1" s="21">
      <c r="A464" s="21" t="n">
        <v>4905</v>
      </c>
      <c r="B464" s="21" t="inlineStr">
        <is>
          <t>炼金技巧</t>
        </is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customFormat="1" s="21">
      <c r="A465" s="21" t="n">
        <v>4905</v>
      </c>
      <c r="B465" s="21" t="inlineStr">
        <is>
          <t>炼金技巧</t>
        </is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customFormat="1" s="21">
      <c r="A466" s="21" t="n">
        <v>4905</v>
      </c>
      <c r="B466" s="21" t="inlineStr">
        <is>
          <t>炼金技巧</t>
        </is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customFormat="1" s="21">
      <c r="A467" s="21" t="n">
        <v>4905</v>
      </c>
      <c r="B467" s="21" t="inlineStr">
        <is>
          <t>炼金技巧</t>
        </is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customFormat="1" s="21">
      <c r="A468" s="21" t="n">
        <v>4905</v>
      </c>
      <c r="B468" s="21" t="inlineStr">
        <is>
          <t>炼金技巧</t>
        </is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customFormat="1" s="21">
      <c r="A469" s="21" t="n">
        <v>4905</v>
      </c>
      <c r="B469" s="21" t="inlineStr">
        <is>
          <t>炼金技巧</t>
        </is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customFormat="1" s="21">
      <c r="A470" s="21" t="n">
        <v>4905</v>
      </c>
      <c r="B470" s="21" t="inlineStr">
        <is>
          <t>炼金技巧</t>
        </is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customFormat="1" s="21">
      <c r="A471" s="21" t="n">
        <v>4905</v>
      </c>
      <c r="B471" s="21" t="inlineStr">
        <is>
          <t>炼金技巧</t>
        </is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customFormat="1" s="21">
      <c r="A472" s="21" t="n">
        <v>4905</v>
      </c>
      <c r="B472" s="21" t="inlineStr">
        <is>
          <t>炼金技巧</t>
        </is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customFormat="1" s="21">
      <c r="A473" s="21" t="n">
        <v>4905</v>
      </c>
      <c r="B473" s="21" t="inlineStr">
        <is>
          <t>炼金技巧</t>
        </is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customFormat="1" s="21">
      <c r="A474" s="21" t="n">
        <v>4905</v>
      </c>
      <c r="B474" s="21" t="inlineStr">
        <is>
          <t>炼金技巧</t>
        </is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customFormat="1" s="21">
      <c r="A475" s="21" t="n">
        <v>4905</v>
      </c>
      <c r="B475" s="21" t="inlineStr">
        <is>
          <t>炼金技巧</t>
        </is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customFormat="1" s="21">
      <c r="A476" s="21" t="n">
        <v>4905</v>
      </c>
      <c r="B476" s="21" t="inlineStr">
        <is>
          <t>炼金技巧</t>
        </is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customFormat="1" s="21">
      <c r="A477" s="21" t="n">
        <v>4905</v>
      </c>
      <c r="B477" s="21" t="inlineStr">
        <is>
          <t>炼金技巧</t>
        </is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customFormat="1" s="21">
      <c r="A478" s="21" t="n">
        <v>4905</v>
      </c>
      <c r="B478" s="21" t="inlineStr">
        <is>
          <t>炼金技巧</t>
        </is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customFormat="1" s="21">
      <c r="A479" s="21" t="n">
        <v>4905</v>
      </c>
      <c r="B479" s="21" t="inlineStr">
        <is>
          <t>炼金技巧</t>
        </is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customFormat="1" s="21">
      <c r="A480" s="21" t="n">
        <v>4905</v>
      </c>
      <c r="B480" s="21" t="inlineStr">
        <is>
          <t>炼金技巧</t>
        </is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customFormat="1" s="21">
      <c r="A481" s="21" t="n">
        <v>4905</v>
      </c>
      <c r="B481" s="21" t="inlineStr">
        <is>
          <t>炼金技巧</t>
        </is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customFormat="1" s="21">
      <c r="A482" s="21" t="n">
        <v>4905</v>
      </c>
      <c r="B482" s="21" t="inlineStr">
        <is>
          <t>炼金技巧</t>
        </is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customFormat="1" s="21">
      <c r="A483" s="21" t="n">
        <v>4905</v>
      </c>
      <c r="B483" s="21" t="inlineStr">
        <is>
          <t>炼金技巧</t>
        </is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customFormat="1" s="21">
      <c r="A484" s="21" t="n">
        <v>4905</v>
      </c>
      <c r="B484" s="21" t="inlineStr">
        <is>
          <t>炼金技巧</t>
        </is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customFormat="1" s="21">
      <c r="A485" s="21" t="n">
        <v>4905</v>
      </c>
      <c r="B485" s="21" t="inlineStr">
        <is>
          <t>炼金技巧</t>
        </is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customFormat="1" s="21">
      <c r="A486" s="21" t="n">
        <v>4905</v>
      </c>
      <c r="B486" s="21" t="inlineStr">
        <is>
          <t>炼金技巧</t>
        </is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customFormat="1" s="21">
      <c r="A487" s="21" t="n">
        <v>4905</v>
      </c>
      <c r="B487" s="21" t="inlineStr">
        <is>
          <t>炼金技巧</t>
        </is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customFormat="1" s="21">
      <c r="A488" s="21" t="n">
        <v>4905</v>
      </c>
      <c r="B488" s="21" t="inlineStr">
        <is>
          <t>炼金技巧</t>
        </is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customFormat="1" s="21">
      <c r="A489" s="21" t="n">
        <v>4905</v>
      </c>
      <c r="B489" s="21" t="inlineStr">
        <is>
          <t>炼金技巧</t>
        </is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customFormat="1" s="21">
      <c r="A490" s="21" t="n">
        <v>4905</v>
      </c>
      <c r="B490" s="21" t="inlineStr">
        <is>
          <t>炼金技巧</t>
        </is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customFormat="1" s="21">
      <c r="A491" s="21" t="n">
        <v>4905</v>
      </c>
      <c r="B491" s="21" t="inlineStr">
        <is>
          <t>炼金技巧</t>
        </is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customFormat="1" s="21">
      <c r="A492" s="21" t="n">
        <v>4905</v>
      </c>
      <c r="B492" s="21" t="inlineStr">
        <is>
          <t>炼金技巧</t>
        </is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customFormat="1" s="21">
      <c r="A493" s="21" t="n">
        <v>4905</v>
      </c>
      <c r="B493" s="21" t="inlineStr">
        <is>
          <t>炼金技巧</t>
        </is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customFormat="1" s="21">
      <c r="A494" s="21" t="n">
        <v>4905</v>
      </c>
      <c r="B494" s="21" t="inlineStr">
        <is>
          <t>炼金技巧</t>
        </is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customFormat="1" s="21">
      <c r="A495" s="21" t="n">
        <v>4905</v>
      </c>
      <c r="B495" s="21" t="inlineStr">
        <is>
          <t>炼金技巧</t>
        </is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customFormat="1" s="21">
      <c r="A496" s="21" t="n">
        <v>4905</v>
      </c>
      <c r="B496" s="21" t="inlineStr">
        <is>
          <t>炼金技巧</t>
        </is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customFormat="1" s="21">
      <c r="A497" s="21" t="n">
        <v>4905</v>
      </c>
      <c r="B497" s="21" t="inlineStr">
        <is>
          <t>炼金技巧</t>
        </is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customFormat="1" s="21">
      <c r="A498" s="21" t="n">
        <v>4905</v>
      </c>
      <c r="B498" s="21" t="inlineStr">
        <is>
          <t>炼金技巧</t>
        </is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customFormat="1" s="21">
      <c r="A499" s="21" t="n">
        <v>4905</v>
      </c>
      <c r="B499" s="21" t="inlineStr">
        <is>
          <t>炼金技巧</t>
        </is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customFormat="1" s="21">
      <c r="A500" s="21" t="n">
        <v>4905</v>
      </c>
      <c r="B500" s="21" t="inlineStr">
        <is>
          <t>炼金技巧</t>
        </is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customFormat="1" s="21">
      <c r="A501" s="21" t="n">
        <v>4905</v>
      </c>
      <c r="B501" s="21" t="inlineStr">
        <is>
          <t>炼金技巧</t>
        </is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customFormat="1" s="21">
      <c r="A502" s="21" t="n">
        <v>4905</v>
      </c>
      <c r="B502" s="21" t="inlineStr">
        <is>
          <t>炼金技巧</t>
        </is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customFormat="1" s="21">
      <c r="A503" s="21" t="n">
        <v>4905</v>
      </c>
      <c r="B503" s="21" t="inlineStr">
        <is>
          <t>炼金技巧</t>
        </is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customFormat="1" s="21">
      <c r="A504" s="21" t="n">
        <v>4905</v>
      </c>
      <c r="B504" s="21" t="inlineStr">
        <is>
          <t>炼金技巧</t>
        </is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2026-08-04T08:57:15Z</dcterms:modified>
  <cp:lastModifiedBy>vb aa</cp:lastModifiedBy>
</cp:coreProperties>
</file>