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810" firstSheet="0" activeTab="1"/>
  </bookViews>
  <sheets>
    <sheet name="CONFIG" sheetId="1" state="visible" r:id="rId3"/>
    <sheet name="Const" sheetId="2" state="visible" r:id="rId4"/>
    <sheet name="Role" sheetId="3" state="visible" r:id="rId5"/>
    <sheet name="Message" sheetId="4" state="visible" r:id="rId6"/>
    <sheet name="OpsPermissions" sheetId="5" state="visible" r:id="rId7"/>
    <sheet name="PersonnelPermissions" sheetId="6" state="visible" r:id="rId8"/>
    <sheet name="RoleLimit" sheetId="7" state="visible" r:id="rId9"/>
    <sheet name="GuildHall" sheetId="8" state="visible" r:id="rId10"/>
    <sheet name="Vault" sheetId="9" state="visible" r:id="rId11"/>
    <sheet name="Store" sheetId="10" state="visible" r:id="rId12"/>
    <sheet name="WingRoom" sheetId="11" state="visible" r:id="rId13"/>
    <sheet name="Library" sheetId="12" state="visible" r:id="rId14"/>
    <sheet name="PetHouse" sheetId="13" state="visible" r:id="rId15"/>
    <sheet name="Quest" sheetId="14" state="visible" r:id="rId16"/>
    <sheet name="QuestCount" sheetId="15" state="visible" r:id="rId17"/>
    <sheet name="WelcomeMessage" sheetId="16" state="visible" r:id="rId18"/>
    <sheet name="SpellData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<sst xmlns="http://schemas.openxmlformats.org/spreadsheetml/2006/main" count="1499" uniqueCount="547">
  <si>
    <t xml:space="preserve">表名</t>
  </si>
  <si>
    <t xml:space="preserve">帮派配置</t>
  </si>
  <si>
    <t xml:space="preserve">说明</t>
  </si>
  <si>
    <t xml:space="preserve">列作用说明</t>
  </si>
  <si>
    <t xml:space="preserve">导出目标</t>
  </si>
  <si>
    <t xml:space="preserve">需要导出的sheet</t>
  </si>
  <si>
    <t xml:space="preserve">导出文件</t>
  </si>
  <si>
    <t xml:space="preserve">导出格式</t>
  </si>
  <si>
    <t xml:space="preserve">UNIVERSAL</t>
  </si>
  <si>
    <t xml:space="preserve">Const</t>
  </si>
  <si>
    <t xml:space="preserve">u_guild_const_data.py</t>
  </si>
  <si>
    <t xml:space="preserve">CONST</t>
  </si>
  <si>
    <t xml:space="preserve">职位权限</t>
  </si>
  <si>
    <t xml:space="preserve">SERVER</t>
  </si>
  <si>
    <t xml:space="preserve">OpsPermissions</t>
  </si>
  <si>
    <t xml:space="preserve">guild/ops_permissions.py</t>
  </si>
  <si>
    <t xml:space="preserve">CLIENT</t>
  </si>
  <si>
    <t xml:space="preserve">人事权限</t>
  </si>
  <si>
    <t xml:space="preserve">PersonnelPermissions</t>
  </si>
  <si>
    <t xml:space="preserve">guild/personnel_permissions.py</t>
  </si>
  <si>
    <t xml:space="preserve">职位人数</t>
  </si>
  <si>
    <t xml:space="preserve">RoleLimit</t>
  </si>
  <si>
    <t xml:space="preserve">guild/role_limit.py</t>
  </si>
  <si>
    <t xml:space="preserve">帮派大厅</t>
  </si>
  <si>
    <t xml:space="preserve">GuildHall</t>
  </si>
  <si>
    <t xml:space="preserve">guild/guild_hall.py</t>
  </si>
  <si>
    <t xml:space="preserve">金库</t>
  </si>
  <si>
    <t xml:space="preserve">Vault</t>
  </si>
  <si>
    <t xml:space="preserve">guild/vault.py</t>
  </si>
  <si>
    <t xml:space="preserve">商店</t>
  </si>
  <si>
    <t xml:space="preserve">Store</t>
  </si>
  <si>
    <t xml:space="preserve">guild/store.py</t>
  </si>
  <si>
    <t xml:space="preserve">厢房</t>
  </si>
  <si>
    <t xml:space="preserve">WingRoom</t>
  </si>
  <si>
    <t xml:space="preserve">guild/wing_room.py</t>
  </si>
  <si>
    <t xml:space="preserve">书院</t>
  </si>
  <si>
    <t xml:space="preserve">Library</t>
  </si>
  <si>
    <t xml:space="preserve">guild/library.py</t>
  </si>
  <si>
    <t xml:space="preserve">兽栏</t>
  </si>
  <si>
    <t xml:space="preserve">PetHouse</t>
  </si>
  <si>
    <t xml:space="preserve">guild/pet_house.py</t>
  </si>
  <si>
    <t xml:space="preserve">帮派任务</t>
  </si>
  <si>
    <t xml:space="preserve">Quest</t>
  </si>
  <si>
    <t xml:space="preserve">guild/quest.py</t>
  </si>
  <si>
    <t xml:space="preserve">帮派任务数量奖励</t>
  </si>
  <si>
    <t xml:space="preserve">QuestCount</t>
  </si>
  <si>
    <t xml:space="preserve">guild/quest_count.py</t>
  </si>
  <si>
    <t xml:space="preserve">帮派迎新词</t>
  </si>
  <si>
    <t xml:space="preserve">WelcomeMessage</t>
  </si>
  <si>
    <t xml:space="preserve">guild/welcome_message.py</t>
  </si>
  <si>
    <t xml:space="preserve">帮派消息</t>
  </si>
  <si>
    <t xml:space="preserve">Message</t>
  </si>
  <si>
    <t xml:space="preserve">guild/message.py</t>
  </si>
  <si>
    <t xml:space="preserve">职位</t>
  </si>
  <si>
    <t xml:space="preserve">Role</t>
  </si>
  <si>
    <t xml:space="preserve">guild/role.py</t>
  </si>
  <si>
    <t xml:space="preserve">帮派技能</t>
  </si>
  <si>
    <t xml:space="preserve">SpellData</t>
  </si>
  <si>
    <t xml:space="preserve">guild/guild_spell_data.py</t>
  </si>
  <si>
    <t xml:space="preserve">常量字段名</t>
  </si>
  <si>
    <t xml:space="preserve">常量数据类型</t>
  </si>
  <si>
    <t xml:space="preserve">常量值</t>
  </si>
  <si>
    <t xml:space="preserve">注释</t>
  </si>
  <si>
    <t xml:space="preserve">key:string</t>
  </si>
  <si>
    <t xml:space="preserve">type:string</t>
  </si>
  <si>
    <t xml:space="preserve">value:string</t>
  </si>
  <si>
    <t xml:space="preserve">comment:string</t>
  </si>
  <si>
    <t xml:space="preserve">GUILD_NAME_MAX_LIMIT</t>
  </si>
  <si>
    <t xml:space="preserve">int</t>
  </si>
  <si>
    <t xml:space="preserve">帮派名字最长长度限制</t>
  </si>
  <si>
    <t xml:space="preserve">GUILD_NAME_MIN_LIMIT</t>
  </si>
  <si>
    <t xml:space="preserve">帮派名字最短长度限制</t>
  </si>
  <si>
    <t xml:space="preserve">GUILD_NOTICE_MAX_LIMIT</t>
  </si>
  <si>
    <t xml:space="preserve">帮派宗旨最长长度限制</t>
  </si>
  <si>
    <t xml:space="preserve">GUILD_NOTICE_MIN_LIMIT</t>
  </si>
  <si>
    <t xml:space="preserve">帮派宗旨最短长度限制</t>
  </si>
  <si>
    <t xml:space="preserve">GUILD_EXPEL_REASON_LIMIT</t>
  </si>
  <si>
    <t xml:space="preserve">帮派踢人理由长度限制</t>
  </si>
  <si>
    <t xml:space="preserve">GUILD_APPLY_NOTE_LIMIT</t>
  </si>
  <si>
    <t xml:space="preserve">帮派申请附言长度限制</t>
  </si>
  <si>
    <t xml:space="preserve">GUILD_WELCOME_MESSAGE_LIMIT</t>
  </si>
  <si>
    <t xml:space="preserve">帮派迎新欢迎语长度限制</t>
  </si>
  <si>
    <t xml:space="preserve">GUILD_MESSAGE_LIMIT</t>
  </si>
  <si>
    <t xml:space="preserve">帮派消息长度限制</t>
  </si>
  <si>
    <t xml:space="preserve">GUILD_COUNT_LIMIT</t>
  </si>
  <si>
    <t xml:space="preserve">帮派数量上限</t>
  </si>
  <si>
    <t xml:space="preserve">GUILD_FIRST_RANK_DAY</t>
  </si>
  <si>
    <t xml:space="preserve">帮派第一次排名的时间，过了这个时间帮派的id和展示逻辑会不一样</t>
  </si>
  <si>
    <t xml:space="preserve">GUILD_ID_HASH_MOD</t>
  </si>
  <si>
    <t xml:space="preserve">14天前的帮派hash范围数量</t>
  </si>
  <si>
    <t xml:space="preserve">GUILD_ID_HASH_OFFSET</t>
  </si>
  <si>
    <t xml:space="preserve">14天前的帮派hash范围起点</t>
  </si>
  <si>
    <t xml:space="preserve">GUILD_RANKING_NEW_TIME</t>
  </si>
  <si>
    <t xml:space="preserve">排名的新帮派时间</t>
  </si>
  <si>
    <t xml:space="preserve">GUILD_RANKING_NEW_PROB</t>
  </si>
  <si>
    <t xml:space="preserve">float</t>
  </si>
  <si>
    <t xml:space="preserve">排名的新帮派进前十的概率配置</t>
  </si>
  <si>
    <t xml:space="preserve">GUILD_RANKING_NEW_COUNT</t>
  </si>
  <si>
    <t xml:space="preserve">排名的新帮派进前十的名额</t>
  </si>
  <si>
    <t xml:space="preserve">GUILD_RANKING_MEMBER_SHORTAGE</t>
  </si>
  <si>
    <t xml:space="preserve">排名的少人帮派</t>
  </si>
  <si>
    <t xml:space="preserve">GUILD_RANKING_MEMBER_SHORTAGE_PROB</t>
  </si>
  <si>
    <t xml:space="preserve">排名的少人帮派进前十的概率</t>
  </si>
  <si>
    <t xml:space="preserve">GUILD_RANKING_MEMBER_SHORTAGE_COUNT</t>
  </si>
  <si>
    <t xml:space="preserve">排名的少人帮派进前十的名额</t>
  </si>
  <si>
    <t xml:space="preserve">GUILD_RANKING_FIGHT_RANKING</t>
  </si>
  <si>
    <t xml:space="preserve">排名的帮战排行</t>
  </si>
  <si>
    <t xml:space="preserve">GUILD_RANKING_FIGHT_RANKING_PROB</t>
  </si>
  <si>
    <t xml:space="preserve">排名的帮战排行进前十的概率</t>
  </si>
  <si>
    <t xml:space="preserve">GUILD_RANKING_FIGHT_RANKING_COUNT</t>
  </si>
  <si>
    <t xml:space="preserve">排名的帮战排行进前十的名额</t>
  </si>
  <si>
    <t xml:space="preserve">GUILD_LIST_PAGE_SIZE</t>
  </si>
  <si>
    <t xml:space="preserve">帮派列表单页数量</t>
  </si>
  <si>
    <t xml:space="preserve">GUILD_APPLY_VALIDITY</t>
  </si>
  <si>
    <t xml:space="preserve">帮派申请有效期(秒)</t>
  </si>
  <si>
    <t xml:space="preserve">GUILD_SORT_REFRESH_TIME</t>
  </si>
  <si>
    <t xml:space="preserve">14天前 帮派列表多久刷新一次</t>
  </si>
  <si>
    <t xml:space="preserve">GUILD_RANDOM_APPLY_COUNT</t>
  </si>
  <si>
    <t xml:space="preserve">帮派一键申请的数量</t>
  </si>
  <si>
    <t xml:space="preserve">GUILD_RANDOM_APPLY_INTERVAL</t>
  </si>
  <si>
    <t xml:space="preserve">帮派一键申请的间隔时间(秒)</t>
  </si>
  <si>
    <t xml:space="preserve">GUILD_INIT_ROLE_MEMBER_LEVEL</t>
  </si>
  <si>
    <t xml:space="preserve">入帮默认为帮众所需的等级</t>
  </si>
  <si>
    <t xml:space="preserve">GUILD_TRAINEE_REGULARIZED_LEVEL</t>
  </si>
  <si>
    <t xml:space="preserve">学徒自动转正所需的等级</t>
  </si>
  <si>
    <t xml:space="preserve">GUILD_TRAINEE_REGULARIZED_CONTRIBUTION</t>
  </si>
  <si>
    <t xml:space="preserve">学徒自动转正所需的贡献</t>
  </si>
  <si>
    <t xml:space="preserve">GUILD_TRAINEE_REGULARIZED_TIME</t>
  </si>
  <si>
    <t xml:space="preserve">学徒自动转正所需的时间(秒)</t>
  </si>
  <si>
    <t xml:space="preserve">GUILD_IMPEACH_TIMES_LIMIT</t>
  </si>
  <si>
    <t xml:space="preserve">每天发起弹劾的次数上线</t>
  </si>
  <si>
    <t xml:space="preserve">GUILD_IMPEACH_LEVEL</t>
  </si>
  <si>
    <t xml:space="preserve">发起弹劾所需等级</t>
  </si>
  <si>
    <t xml:space="preserve">GUILD_IMPEACH_NEED_TIME</t>
  </si>
  <si>
    <t xml:space="preserve">需要加入帮派多少时间才能发起弹劾(秒)</t>
  </si>
  <si>
    <t xml:space="preserve">GUILD_IMPEACH_VOTE_DURATION</t>
  </si>
  <si>
    <t xml:space="preserve">弹劾投票持续时间(秒)</t>
  </si>
  <si>
    <t xml:space="preserve">GUILD_IMPEACH_NEED_LOGIN</t>
  </si>
  <si>
    <t xml:space="preserve">弹劾所需的最近登录(秒)</t>
  </si>
  <si>
    <t xml:space="preserve">GUILD_IMPEACH_ACTIVE_RATE</t>
  </si>
  <si>
    <t xml:space="preserve">弹劾所需的活跃玩家比例</t>
  </si>
  <si>
    <t xml:space="preserve">GUILD_IMPEACH_MEMBER_RATE</t>
  </si>
  <si>
    <t xml:space="preserve">弹劾所需的成员比例</t>
  </si>
  <si>
    <t xml:space="preserve">GUILD_CREATE_COST_TYPE</t>
  </si>
  <si>
    <t xml:space="preserve">创建帮派所需的货币类型</t>
  </si>
  <si>
    <t xml:space="preserve">ECurrencyType.k_gold</t>
  </si>
  <si>
    <t xml:space="preserve">GUILD_CREATE_COST_NUM</t>
  </si>
  <si>
    <t xml:space="preserve">创建帮派所需的货币数量</t>
  </si>
  <si>
    <t xml:space="preserve">GUILD_BUILDING_UPGRADE_COOLDOWN</t>
  </si>
  <si>
    <t xml:space="preserve">帮派建筑升级所需CD(秒)</t>
  </si>
  <si>
    <t xml:space="preserve">GUILD_BONUS_COST_TYPE</t>
  </si>
  <si>
    <t xml:space="preserve">帮派分红奖励的货币类型</t>
  </si>
  <si>
    <t xml:space="preserve">ECurrencyType.k_silver</t>
  </si>
  <si>
    <t xml:space="preserve">GUILD_WELCOME_COST_TYPE</t>
  </si>
  <si>
    <t xml:space="preserve">帮派迎新的货币类型</t>
  </si>
  <si>
    <t xml:space="preserve">GUILD_WELCOME_COST_LIMIT </t>
  </si>
  <si>
    <t xml:space="preserve">帮派迎新货币上限</t>
  </si>
  <si>
    <t xml:space="preserve">GUILD_WELCOME_COOLING</t>
  </si>
  <si>
    <t xml:space="preserve">打赏冷却时间(秒)</t>
  </si>
  <si>
    <t xml:space="preserve">GUILD_FREE_MESSAGE_COUNT</t>
  </si>
  <si>
    <t xml:space="preserve">每日免费消息次数</t>
  </si>
  <si>
    <t xml:space="preserve">GUILD_MESSAGE_COST_TYPE</t>
  </si>
  <si>
    <t xml:space="preserve">帮派消息消耗的货币类型</t>
  </si>
  <si>
    <t xml:space="preserve">GUILD_MESSAGE_COST_NUM</t>
  </si>
  <si>
    <t xml:space="preserve">帮派消息消耗的货币数量</t>
  </si>
  <si>
    <t xml:space="preserve">GUILD_EVENT_MAX_COUNT</t>
  </si>
  <si>
    <t xml:space="preserve">帮派事件最大长度</t>
  </si>
  <si>
    <t xml:space="preserve">GUILD_INSOLVENCY_PROTECT</t>
  </si>
  <si>
    <t xml:space="preserve">破产保护天数</t>
  </si>
  <si>
    <t xml:space="preserve">GUILD_FUNDS_LESS_WARNING</t>
  </si>
  <si>
    <t xml:space="preserve">帮派资金小于多少天触发维护费用提醒</t>
  </si>
  <si>
    <t xml:space="preserve">GUILD_FREE_UPDATE_NOTICE_COUNT</t>
  </si>
  <si>
    <t xml:space="preserve">每日免费更新帮派宗旨次数</t>
  </si>
  <si>
    <t xml:space="preserve">GUILD_UPDATE_NOTICE_COST_TYPE</t>
  </si>
  <si>
    <t xml:space="preserve">更新帮派宗旨消耗的货币类型</t>
  </si>
  <si>
    <t xml:space="preserve">GUILD_UPDATE_NOTICE_COST_NUM</t>
  </si>
  <si>
    <t xml:space="preserve">更新帮派宗旨消耗的货币数量</t>
  </si>
  <si>
    <t xml:space="preserve">GUILD_FUZZY_SEARCH_PROCESS_LIMIT</t>
  </si>
  <si>
    <t xml:space="preserve">一帧逻辑最多处理的模糊搜索数量</t>
  </si>
  <si>
    <t xml:space="preserve">GUILD_FUZZY_SEARCH_RESULT_MAX_COUNT</t>
  </si>
  <si>
    <t xml:space="preserve">模糊搜索返回的最大数量</t>
  </si>
  <si>
    <t xml:space="preserve">GUILD_SPACE_ID</t>
  </si>
  <si>
    <t xml:space="preserve">帮派场景ID</t>
  </si>
  <si>
    <t xml:space="preserve">GUILD_WEEKLY_QUEST_FINISHED_LIMIT</t>
  </si>
  <si>
    <t xml:space="preserve">每周帮派任务完成上限</t>
  </si>
  <si>
    <t xml:space="preserve">GUILD_MAIL_INSOLVENCY_DISBAND</t>
  </si>
  <si>
    <t xml:space="preserve">帮派邮件模板ID:帮派缺少资金解散帮主</t>
  </si>
  <si>
    <t xml:space="preserve">你的帮派缺乏帮派资金维护，帮派将不得不解散。T.T</t>
  </si>
  <si>
    <t xml:space="preserve">GUILD_MAIL_INSOLVENCY</t>
  </si>
  <si>
    <t xml:space="preserve">帮派邮件模板ID:帮派缺少资金警告</t>
  </si>
  <si>
    <t xml:space="preserve">你的帮派缺乏帮派资金维护，再持续{}小时不够帮派维护资金，帮派将不得不解散。T.T</t>
  </si>
  <si>
    <t xml:space="preserve">GUILD_MAIL_DISBAND_MEMBER_NOT_ENOUGH</t>
  </si>
  <si>
    <t xml:space="preserve">帮派邮件模板ID:帮派人数不足解散</t>
  </si>
  <si>
    <t xml:space="preserve">你的帮派由于人数不足被解散。</t>
  </si>
  <si>
    <t xml:space="preserve">GUILD_MAIL_DISBAND_FUNDS_NOT_ENOUGH</t>
  </si>
  <si>
    <t xml:space="preserve">帮派邮件模板ID:帮派缺少资金解散成员</t>
  </si>
  <si>
    <t xml:space="preserve">你的帮派由于帮派资金长期不足，已经消逝在风中。</t>
  </si>
  <si>
    <t xml:space="preserve">GUILD_MAIL_DEGRADE_WING_ROOM</t>
  </si>
  <si>
    <t xml:space="preserve">帮派邮件模板ID:厢房降级</t>
  </si>
  <si>
    <t xml:space="preserve">帮派维护消耗{}帮派资金。当前内政：厢房降级。降级到{}级。</t>
  </si>
  <si>
    <t xml:space="preserve">GUILD_MAIL_DEGRADE_VAULT</t>
  </si>
  <si>
    <t xml:space="preserve">帮派邮件模板ID:金库降级</t>
  </si>
  <si>
    <t xml:space="preserve">帮派维护消耗{}帮派资金。当前内政：金库降级。降级到{}级。</t>
  </si>
  <si>
    <t xml:space="preserve">GUILD_MAIL_DEGRADE_STORE</t>
  </si>
  <si>
    <t xml:space="preserve">帮派邮件模板ID:商店降级</t>
  </si>
  <si>
    <t xml:space="preserve">帮派维护消耗{}帮派资金。当前内政：商店降级。降级到{}级。</t>
  </si>
  <si>
    <t xml:space="preserve">GUILD_MAIL_DEGRADE_GUILD_HALL</t>
  </si>
  <si>
    <t xml:space="preserve">帮派邮件模板ID:帮派降级</t>
  </si>
  <si>
    <t xml:space="preserve">帮派维护消耗{}帮派资金。当前内政：帮派降级。降级到{}级。</t>
  </si>
  <si>
    <t xml:space="preserve">GUILD_MAIL_DEGRADE_LIBRARY</t>
  </si>
  <si>
    <t xml:space="preserve">帮派邮件模板ID:书院降级</t>
  </si>
  <si>
    <t xml:space="preserve">帮派维护消耗{}帮派资金。当前内政：书院降级。降级到{}级。</t>
  </si>
  <si>
    <t xml:space="preserve">GUILD_MAIL_DEGRADE_PET_HOUSE</t>
  </si>
  <si>
    <t xml:space="preserve">帮派邮件模板ID:兽栏降级</t>
  </si>
  <si>
    <t xml:space="preserve">帮派维护消耗{}帮派资金。当前内政：兽栏降级。降级到{}级。</t>
  </si>
  <si>
    <t xml:space="preserve">GUILD_MAIL_BONUS</t>
  </si>
  <si>
    <t xml:space="preserve">帮派邮件模板ID:帮派分红提醒</t>
  </si>
  <si>
    <t xml:space="preserve">你可以前往帮派白虎堂总管领取你的帮派分红。</t>
  </si>
  <si>
    <t xml:space="preserve">GUILD_MAIL_APPOINT_MASTER</t>
  </si>
  <si>
    <t xml:space="preserve">帮派邮件模板ID:帮主任命</t>
  </si>
  <si>
    <t xml:space="preserve">你被任命为本帮的新帮主。</t>
  </si>
  <si>
    <t xml:space="preserve">GUILD_MAIL_FUNDS_FULL</t>
  </si>
  <si>
    <t xml:space="preserve">帮派邮件模板ID:帮派资金达到上限</t>
  </si>
  <si>
    <t xml:space="preserve">帮派资金已达上限，快去升级帮派吧。</t>
  </si>
  <si>
    <t xml:space="preserve">GUILD_MAIL_WELCOME_CURRENCY</t>
  </si>
  <si>
    <t xml:space="preserve">帮派邮件模板ID:帮派迎新礼金</t>
  </si>
  <si>
    <t xml:space="preserve">帮派迎新礼金离线邮件发送</t>
  </si>
  <si>
    <t xml:space="preserve">GUILD_SIEGE_DECLARE</t>
  </si>
  <si>
    <t xml:space="preserve">灵宠进军到位后延迟多久可以宣战</t>
  </si>
  <si>
    <t xml:space="preserve">GUILD_SIEGE_DELAY</t>
  </si>
  <si>
    <t xml:space="preserve">宣战后多久开启攻城战</t>
  </si>
  <si>
    <t xml:space="preserve">GUILD_SIEGE_LEVEL_REQUIREMENT</t>
  </si>
  <si>
    <t xml:space="preserve">参与攻城的等级要求</t>
  </si>
  <si>
    <t xml:space="preserve">GUILD_SIEGE_TENURE_REQUIREMENT</t>
  </si>
  <si>
    <t xml:space="preserve">参与攻城的入帮时间要求</t>
  </si>
  <si>
    <t xml:space="preserve">GUILD_SIEGE_CART_PREFAB</t>
  </si>
  <si>
    <t xml:space="preserve">帮派攻城车(灵兽)prefab_id</t>
  </si>
  <si>
    <t xml:space="preserve">GUILD_SIEGE_PROTECT_CART_COUNT</t>
  </si>
  <si>
    <t xml:space="preserve">每日护车次数</t>
  </si>
  <si>
    <t xml:space="preserve">GUILD_SIEGE_ATTACK_CART_COUNT</t>
  </si>
  <si>
    <t xml:space="preserve">每日劫车次数</t>
  </si>
  <si>
    <t xml:space="preserve">GUILD_SIEGE_SPEED_PARAM_A</t>
  </si>
  <si>
    <t xml:space="preserve">速度公式参数A</t>
  </si>
  <si>
    <t xml:space="preserve">GUILD_SIEGE_SPEED_PARAM_B</t>
  </si>
  <si>
    <t xml:space="preserve">速度公式参数B</t>
  </si>
  <si>
    <t xml:space="preserve">GUILD_SIEGE_SPEED_PARAM_C</t>
  </si>
  <si>
    <t xml:space="preserve">速度公式参数C</t>
  </si>
  <si>
    <t xml:space="preserve">GUILD_SIEGE_SPEED_PARAM_D</t>
  </si>
  <si>
    <t xml:space="preserve">速度公式参数D</t>
  </si>
  <si>
    <t xml:space="preserve">GUILD_SIEGE_COMBAT_ID</t>
  </si>
  <si>
    <t xml:space="preserve">list</t>
  </si>
  <si>
    <t xml:space="preserve">推车灵兽PVE战斗id</t>
  </si>
  <si>
    <t xml:space="preserve">GUILD_SIEGE_CART_START_COST</t>
  </si>
  <si>
    <t xml:space="preserve">推车消耗的帮派资金数量</t>
  </si>
  <si>
    <t xml:space="preserve">GUILD_SPELL_DEVELOP_CHANGE_COST</t>
  </si>
  <si>
    <t xml:space="preserve">帮派开始研究技能或者切换的开销</t>
  </si>
  <si>
    <t xml:space="preserve">GUILD_SPELL_DEVELOP_COST</t>
  </si>
  <si>
    <t xml:space="preserve">研究技能每整点的消耗</t>
  </si>
  <si>
    <t xml:space="preserve">GUILD_SPELL_DEVELOP_VALUE</t>
  </si>
  <si>
    <t xml:space="preserve">研究技能每次增加的值</t>
  </si>
  <si>
    <t xml:space="preserve">GUILD_SIEGE_CART_WEEKDAYS</t>
  </si>
  <si>
    <t xml:space="preserve">1, 2, 3, 4, 5</t>
  </si>
  <si>
    <t xml:space="preserve">推车活动日期 (周一到周五)</t>
  </si>
  <si>
    <t xml:space="preserve">GUILD_SIEGE_PROTECT_CART_BEGIN_HOUR</t>
  </si>
  <si>
    <t xml:space="preserve">护车活动开始时间 (小时)</t>
  </si>
  <si>
    <t xml:space="preserve">GUILD_SIEGE_PROTECT_CART_BEGIN_MINUTE</t>
  </si>
  <si>
    <t xml:space="preserve">护车活动开始时间 (分钟)</t>
  </si>
  <si>
    <t xml:space="preserve">GUILD_SIEGE_PROTECT_CART_END_HOUR</t>
  </si>
  <si>
    <t xml:space="preserve">护车活动结束时间 (小时)</t>
  </si>
  <si>
    <t xml:space="preserve">GUILD_SIEGE_PROTECT_CART_END_MINUTE</t>
  </si>
  <si>
    <t xml:space="preserve">护车活动结束时间 (分钟)</t>
  </si>
  <si>
    <t xml:space="preserve">GUILD_SIEGE_ATTACK_CART_BEGIN_HOUR</t>
  </si>
  <si>
    <t xml:space="preserve">劫车活动开始时间 (小时)</t>
  </si>
  <si>
    <t xml:space="preserve">GUILD_SIEGE_ATTACK_CART_BEGIN_MINUTE</t>
  </si>
  <si>
    <t xml:space="preserve">劫车活动开始时间 (分钟)</t>
  </si>
  <si>
    <t xml:space="preserve">GUILD_SIEGE_ATTACK_CART_END_HOUR</t>
  </si>
  <si>
    <t xml:space="preserve">劫车活动结束时间 (小时)</t>
  </si>
  <si>
    <t xml:space="preserve">GUILD_SIEGE_ATTACK_CART_END_MINUTE</t>
  </si>
  <si>
    <t xml:space="preserve">劫车活动结束时间 (分钟)</t>
  </si>
  <si>
    <t xml:space="preserve">GUILD_SIEGE_CART_MAX_HP</t>
  </si>
  <si>
    <t xml:space="preserve">推车最大血量</t>
  </si>
  <si>
    <t xml:space="preserve">GUILD_SIEGE_CART_DAMAGE</t>
  </si>
  <si>
    <t xml:space="preserve">劫车胜利时对车辆造成的伤害</t>
  </si>
  <si>
    <t xml:space="preserve">GUILD_SIEGE_HERO_REVIVE_HP</t>
  </si>
  <si>
    <t xml:space="preserve">英雄死亡但胜利时复活的血量</t>
  </si>
  <si>
    <t xml:space="preserve">GUILD_SIEGE_CART_PVP_COMBAT_ID</t>
  </si>
  <si>
    <t xml:space="preserve">推车 PVP 战斗 combat_id</t>
  </si>
  <si>
    <t xml:space="preserve">GUILD_SIEGE_CART_RALLY_DAILY_LIMIT</t>
  </si>
  <si>
    <t xml:space="preserve">每日集结次数上限</t>
  </si>
  <si>
    <t xml:space="preserve">GUILD_SIEGE_CART_RALLY_DURATION</t>
  </si>
  <si>
    <t xml:space="preserve">集结令有效期（秒），30分钟</t>
  </si>
  <si>
    <t xml:space="preserve">GUILD_MAIL_SIEGE_CART_COMBAT_REWARD</t>
  </si>
  <si>
    <t xml:space="preserve">攻城车战斗奖励邮件模板 ID</t>
  </si>
  <si>
    <t xml:space="preserve">GUILD_SIEGE_CART_PVE_PENDING_DURATION</t>
  </si>
  <si>
    <t xml:space="preserve">劫车PVE匹配等待时间(秒)</t>
  </si>
  <si>
    <t xml:space="preserve">GUILD_SIEGE_CART_PVE_MAX_COUNT</t>
  </si>
  <si>
    <t xml:space="preserve">单次劫车PVE战斗次数上限</t>
  </si>
  <si>
    <t xml:space="preserve">GUILD_CITY_BASE_RELOCATE_COOLDOWN</t>
  </si>
  <si>
    <t xml:space="preserve">帮派基地搬迁冷却时间(秒)</t>
  </si>
  <si>
    <t xml:space="preserve">GUILD_RENAME_COST_TYPE</t>
  </si>
  <si>
    <t xml:space="preserve">帮派改名消耗的货币类型</t>
  </si>
  <si>
    <t xml:space="preserve">GUILD_RENAME_COST_NUM</t>
  </si>
  <si>
    <t xml:space="preserve">帮派改名消耗的货币数量</t>
  </si>
  <si>
    <t xml:space="preserve">GUILD_SIEGE_CART_MARCH_RECORD_LIMIT</t>
  </si>
  <si>
    <t xml:space="preserve">历史进军记录上限</t>
  </si>
  <si>
    <t xml:space="preserve">GUILD_MAINTENANCE_COST_FACTOR</t>
  </si>
  <si>
    <t xml:space="preserve">帮派维护费用系数（每级建筑等级消耗的资金）</t>
  </si>
  <si>
    <t xml:space="preserve">GUILD_MAINTENANCE_HALL_WEIGHT</t>
  </si>
  <si>
    <t xml:space="preserve">帮派大厅在维护费公式中的等级权重</t>
  </si>
  <si>
    <t xml:space="preserve">GUILD_LOW_MAINTENANCE_COST_FACTOR</t>
  </si>
  <si>
    <t xml:space="preserve">帮派低维护费用系数（每级帮派大厅消耗的资金）</t>
  </si>
  <si>
    <t xml:space="preserve">职位(代码枚举)</t>
  </si>
  <si>
    <t xml:space="preserve">职位展示名</t>
  </si>
  <si>
    <t xml:space="preserve">role:int</t>
  </si>
  <si>
    <t xml:space="preserve">show_name:str</t>
  </si>
  <si>
    <t xml:space="preserve">required:True</t>
  </si>
  <si>
    <t xml:space="preserve">帮主</t>
  </si>
  <si>
    <t xml:space="preserve">副帮主</t>
  </si>
  <si>
    <t xml:space="preserve">左护法</t>
  </si>
  <si>
    <t xml:space="preserve">右护法</t>
  </si>
  <si>
    <t xml:space="preserve">青龙堂主</t>
  </si>
  <si>
    <t xml:space="preserve">白虎堂主</t>
  </si>
  <si>
    <t xml:space="preserve">朱雀堂主</t>
  </si>
  <si>
    <t xml:space="preserve">玄武堂主</t>
  </si>
  <si>
    <t xml:space="preserve">青龙堂众</t>
  </si>
  <si>
    <t xml:space="preserve">白虎堂众</t>
  </si>
  <si>
    <t xml:space="preserve">朱雀堂众</t>
  </si>
  <si>
    <t xml:space="preserve">玄武堂众</t>
  </si>
  <si>
    <t xml:space="preserve">精英</t>
  </si>
  <si>
    <t xml:space="preserve">帮众</t>
  </si>
  <si>
    <t xml:space="preserve">学徒</t>
  </si>
  <si>
    <t xml:space="preserve">消息前缀</t>
  </si>
  <si>
    <t xml:space="preserve">全体成员</t>
  </si>
  <si>
    <t xml:space="preserve">全体管理</t>
  </si>
  <si>
    <t xml:space="preserve">prefix:str</t>
  </si>
  <si>
    <t xml:space="preserve">all_member:bool</t>
  </si>
  <si>
    <t xml:space="preserve">qinglong_tangzhong:bool</t>
  </si>
  <si>
    <t xml:space="preserve">baihu_tangzhong:bool</t>
  </si>
  <si>
    <t xml:space="preserve">zhuque_tangzhong:bool</t>
  </si>
  <si>
    <t xml:space="preserve">xuanwu_tangzhong:bool</t>
  </si>
  <si>
    <t xml:space="preserve">all_manager:bool</t>
  </si>
  <si>
    <t xml:space="preserve">来自帮主{}的帮派群发消息：</t>
  </si>
  <si>
    <t xml:space="preserve">来自副帮主{}的帮派群发消息：</t>
  </si>
  <si>
    <t xml:space="preserve">来自左护法{}的帮派群发消息：</t>
  </si>
  <si>
    <t xml:space="preserve">来自右护法{}的帮派群发消息：</t>
  </si>
  <si>
    <t xml:space="preserve">来自青龙堂主{}的帮派群发消息：</t>
  </si>
  <si>
    <t xml:space="preserve">来自白虎堂主{}的帮派群发消息：</t>
  </si>
  <si>
    <t xml:space="preserve">来自朱雀堂主{}的帮派群发消息：</t>
  </si>
  <si>
    <t xml:space="preserve">来自玄武堂主{}的帮派群发消息：</t>
  </si>
  <si>
    <t xml:space="preserve">禁言</t>
  </si>
  <si>
    <t xml:space="preserve">接受新成员</t>
  </si>
  <si>
    <t xml:space="preserve">逐出成员</t>
  </si>
  <si>
    <t xml:space="preserve">写帮派公告</t>
  </si>
  <si>
    <t xml:space="preserve">转学徒为帮众</t>
  </si>
  <si>
    <t xml:space="preserve">升级帮派</t>
  </si>
  <si>
    <t xml:space="preserve">辞去管理</t>
  </si>
  <si>
    <t xml:space="preserve">逐出次数上限</t>
  </si>
  <si>
    <t xml:space="preserve">技能研究</t>
  </si>
  <si>
    <t xml:space="preserve">发起集结</t>
  </si>
  <si>
    <t xml:space="preserve">发起进军</t>
  </si>
  <si>
    <t xml:space="preserve">是否允许修复城池建筑</t>
  </si>
  <si>
    <t xml:space="preserve">是否允许升级城池建筑</t>
  </si>
  <si>
    <t xml:space="preserve">是否允许搬迁帮派基地</t>
  </si>
  <si>
    <t xml:space="preserve">管理城池户口</t>
  </si>
  <si>
    <t xml:space="preserve">帮派改名</t>
  </si>
  <si>
    <t xml:space="preserve">mute:bool</t>
  </si>
  <si>
    <t xml:space="preserve">approve_apply:bool</t>
  </si>
  <si>
    <t xml:space="preserve">expel_member:bool</t>
  </si>
  <si>
    <t xml:space="preserve">update_notice:bool</t>
  </si>
  <si>
    <t xml:space="preserve">guild_message:bool</t>
  </si>
  <si>
    <t xml:space="preserve">promote_trainee:bool</t>
  </si>
  <si>
    <t xml:space="preserve">upgrade_guild:bool</t>
  </si>
  <si>
    <t xml:space="preserve">resign:bool</t>
  </si>
  <si>
    <t xml:space="preserve">expel_limit:int</t>
  </si>
  <si>
    <t xml:space="preserve">spell_develop:bool</t>
  </si>
  <si>
    <t xml:space="preserve">rally_siege_cart:bool</t>
  </si>
  <si>
    <t xml:space="preserve">siege_cart:bool</t>
  </si>
  <si>
    <t xml:space="preserve">repair_city_building:bool</t>
  </si>
  <si>
    <t xml:space="preserve">upgrade_city_building:bool</t>
  </si>
  <si>
    <t xml:space="preserve">relocate_guild_base:bool</t>
  </si>
  <si>
    <t xml:space="preserve">manage_city_residence:bool</t>
  </si>
  <si>
    <t xml:space="preserve">rename_guild:bool</t>
  </si>
  <si>
    <t xml:space="preserve">master:bool</t>
  </si>
  <si>
    <t xml:space="preserve">vice_master:bool</t>
  </si>
  <si>
    <t xml:space="preserve">hufa_left:bool</t>
  </si>
  <si>
    <t xml:space="preserve">hufa_right:bool</t>
  </si>
  <si>
    <t xml:space="preserve">qinglong_tangzhu:bool</t>
  </si>
  <si>
    <t xml:space="preserve">baihu_tangzhu:bool</t>
  </si>
  <si>
    <t xml:space="preserve">zhuque_tangzhu:bool</t>
  </si>
  <si>
    <t xml:space="preserve">xuanwu_tangzhu:bool</t>
  </si>
  <si>
    <t xml:space="preserve">elite:bool</t>
  </si>
  <si>
    <t xml:space="preserve">member:bool</t>
  </si>
  <si>
    <t xml:space="preserve">trainee:bool</t>
  </si>
  <si>
    <t xml:space="preserve">0级别人数
(这个级别为了对齐数组从0开始)</t>
  </si>
  <si>
    <t xml:space="preserve">1级别人数</t>
  </si>
  <si>
    <t xml:space="preserve">2级别人数</t>
  </si>
  <si>
    <t xml:space="preserve">3级别人数</t>
  </si>
  <si>
    <t xml:space="preserve">4级别人数</t>
  </si>
  <si>
    <t xml:space="preserve">5级别人数</t>
  </si>
  <si>
    <t xml:space="preserve">6级别人数</t>
  </si>
  <si>
    <t xml:space="preserve">7级别人数</t>
  </si>
  <si>
    <t xml:space="preserve">limit[0]:int</t>
  </si>
  <si>
    <t xml:space="preserve">limit[1]:int</t>
  </si>
  <si>
    <t xml:space="preserve">limit[2]:int</t>
  </si>
  <si>
    <t xml:space="preserve">limit[3]:int</t>
  </si>
  <si>
    <t xml:space="preserve">limit[4]:int</t>
  </si>
  <si>
    <t xml:space="preserve">limit[5]:int</t>
  </si>
  <si>
    <t xml:space="preserve">limit[6]:int</t>
  </si>
  <si>
    <t xml:space="preserve">limit[7]:int</t>
  </si>
  <si>
    <t xml:space="preserve">帮主（只能有一个）</t>
  </si>
  <si>
    <t xml:space="preserve">大厅等级</t>
  </si>
  <si>
    <t xml:space="preserve">（金库+商店+厢房+书院+兽栏）等级要求</t>
  </si>
  <si>
    <t xml:space="preserve">升级花费</t>
  </si>
  <si>
    <t xml:space="preserve">金库等级上限</t>
  </si>
  <si>
    <t xml:space="preserve">商店等级上限</t>
  </si>
  <si>
    <t xml:space="preserve">厢房等级上限</t>
  </si>
  <si>
    <t xml:space="preserve">书院等级上限</t>
  </si>
  <si>
    <t xml:space="preserve">兽栏等级上限</t>
  </si>
  <si>
    <t xml:space="preserve">model_id</t>
  </si>
  <si>
    <t xml:space="preserve">建筑名称</t>
  </si>
  <si>
    <t xml:space="preserve">地图UI图标id</t>
  </si>
  <si>
    <t xml:space="preserve">坐标</t>
  </si>
  <si>
    <t xml:space="preserve">朝向</t>
  </si>
  <si>
    <t xml:space="preserve">进入位置</t>
  </si>
  <si>
    <t xml:space="preserve">进入朝向</t>
  </si>
  <si>
    <t xml:space="preserve">level:int</t>
  </si>
  <si>
    <t xml:space="preserve">requires_building_level:int</t>
  </si>
  <si>
    <t xml:space="preserve">cost:int</t>
  </si>
  <si>
    <t xml:space="preserve">vault_limit:int</t>
  </si>
  <si>
    <t xml:space="preserve">store_limit:int</t>
  </si>
  <si>
    <t xml:space="preserve">wing_room_limit:int</t>
  </si>
  <si>
    <t xml:space="preserve">library_limit:int</t>
  </si>
  <si>
    <t xml:space="preserve">pet_house_limit:int</t>
  </si>
  <si>
    <t xml:space="preserve">model_id:int</t>
  </si>
  <si>
    <t xml:space="preserve">building_name:string</t>
  </si>
  <si>
    <t xml:space="preserve">map_icon_id:int</t>
  </si>
  <si>
    <t xml:space="preserve">pos:tuple[float,float,float]</t>
  </si>
  <si>
    <t xml:space="preserve">dir:float</t>
  </si>
  <si>
    <t xml:space="preserve">goto_pos:tuple[float,float,float]</t>
  </si>
  <si>
    <t xml:space="preserve">goto_yaw:float</t>
  </si>
  <si>
    <t xml:space="preserve">聚义厅</t>
  </si>
  <si>
    <t xml:space="preserve">20, 0, 37</t>
  </si>
  <si>
    <t xml:space="preserve">28, 0, 29</t>
  </si>
  <si>
    <t xml:space="preserve">金库等级</t>
  </si>
  <si>
    <t xml:space="preserve">帮派资金上限</t>
  </si>
  <si>
    <t xml:space="preserve">金库坐标</t>
  </si>
  <si>
    <t xml:space="preserve">funds_limit:int</t>
  </si>
  <si>
    <t xml:space="preserve">34, 0, 48</t>
  </si>
  <si>
    <t xml:space="preserve">42, 0, 40</t>
  </si>
  <si>
    <t xml:space="preserve">商店等级</t>
  </si>
  <si>
    <t xml:space="preserve">商店坐标</t>
  </si>
  <si>
    <t xml:space="preserve">69, 0, 16</t>
  </si>
  <si>
    <t xml:space="preserve">61, 0, 8</t>
  </si>
  <si>
    <t xml:space="preserve">厢房等级</t>
  </si>
  <si>
    <t xml:space="preserve">帮派人数上限</t>
  </si>
  <si>
    <t xml:space="preserve">厢房坐标</t>
  </si>
  <si>
    <t xml:space="preserve">member_limit:int</t>
  </si>
  <si>
    <t xml:space="preserve">-18, 0, -2</t>
  </si>
  <si>
    <t xml:space="preserve">-12, 0, -8</t>
  </si>
  <si>
    <t xml:space="preserve">书院等级</t>
  </si>
  <si>
    <t xml:space="preserve">技能等级上限</t>
  </si>
  <si>
    <t xml:space="preserve">书院坐标</t>
  </si>
  <si>
    <t xml:space="preserve">spell_level_limit:int</t>
  </si>
  <si>
    <t xml:space="preserve">-8, 0, 9</t>
  </si>
  <si>
    <t xml:space="preserve">0, 0, 1</t>
  </si>
  <si>
    <t xml:space="preserve">兽栏等级</t>
  </si>
  <si>
    <t xml:space="preserve">攻城灵兽等级上限</t>
  </si>
  <si>
    <t xml:space="preserve">兽栏坐标</t>
  </si>
  <si>
    <t xml:space="preserve">pet_level_limit:int</t>
  </si>
  <si>
    <t xml:space="preserve">83, 0, 4</t>
  </si>
  <si>
    <t xml:space="preserve">75, 0, -4</t>
  </si>
  <si>
    <t xml:space="preserve">任务ID</t>
  </si>
  <si>
    <t xml:space="preserve">概率</t>
  </si>
  <si>
    <t xml:space="preserve">物品ID</t>
  </si>
  <si>
    <t xml:space="preserve">物品数量</t>
  </si>
  <si>
    <t xml:space="preserve">奖励ID</t>
  </si>
  <si>
    <t xml:space="preserve">quest_id:int</t>
  </si>
  <si>
    <t xml:space="preserve">weight:int</t>
  </si>
  <si>
    <t xml:space="preserve">item_id:int</t>
  </si>
  <si>
    <t xml:space="preserve">item_num:int</t>
  </si>
  <si>
    <t xml:space="preserve">reward_id:int</t>
  </si>
  <si>
    <t xml:space="preserve">这任务</t>
  </si>
  <si>
    <t xml:space="preserve">完成数量</t>
  </si>
  <si>
    <t xml:space="preserve">count:int</t>
  </si>
  <si>
    <t xml:space="preserve">迎新词ID</t>
  </si>
  <si>
    <t xml:space="preserve">简称</t>
  </si>
  <si>
    <t xml:space="preserve">前缀</t>
  </si>
  <si>
    <t xml:space="preserve">内容</t>
  </si>
  <si>
    <t xml:space="preserve">message_id:int</t>
  </si>
  <si>
    <t xml:space="preserve">alias:str</t>
  </si>
  <si>
    <t xml:space="preserve">content:str</t>
  </si>
  <si>
    <t xml:space="preserve">热烈欢迎</t>
  </si>
  <si>
    <t xml:space="preserve">{}对{}说道：</t>
  </si>
  <si>
    <t xml:space="preserve">欢迎入帮，热烈欢迎！</t>
  </si>
  <si>
    <t xml:space="preserve">称兄道弟</t>
  </si>
  <si>
    <t xml:space="preserve">{}对{}抱拳说道：</t>
  </si>
  <si>
    <t xml:space="preserve">进了帮以后大家就是兄弟姐妹了，亲如一家人！</t>
  </si>
  <si>
    <t xml:space="preserve">我来罩你</t>
  </si>
  <si>
    <t xml:space="preserve">{}对{}挥手说道：</t>
  </si>
  <si>
    <t xml:space="preserve">进了帮以后跟我混，有什么事我来罩着你！</t>
  </si>
  <si>
    <t xml:space="preserve">共同发展</t>
  </si>
  <si>
    <t xml:space="preserve">帮派发展靠大家，进帮后大家共同努力发展帮派哦！</t>
  </si>
  <si>
    <t xml:space="preserve">栋梁之才</t>
  </si>
  <si>
    <t xml:space="preserve">帮派发展急缺人才，你将来一定我们帮的栋梁之才！</t>
  </si>
  <si>
    <t xml:space="preserve">技能ID</t>
  </si>
  <si>
    <t xml:space="preserve">备注</t>
  </si>
  <si>
    <t xml:space="preserve">等级</t>
  </si>
  <si>
    <t xml:space="preserve">技能名称
（在等级数据的第一行配）</t>
  </si>
  <si>
    <t xml:space="preserve">详细效果
（在等级数据的第一行配）</t>
  </si>
  <si>
    <t xml:space="preserve">程序效果
（策划别管）</t>
  </si>
  <si>
    <t xml:space="preserve">当前等级研发所需进度
（0代表不用研究）</t>
  </si>
  <si>
    <t xml:space="preserve">学习所需角色等级</t>
  </si>
  <si>
    <t xml:space="preserve">学习所需道具1类型(帮贡道具id)</t>
  </si>
  <si>
    <t xml:space="preserve">学习所需道具1数量(帮贡数量)</t>
  </si>
  <si>
    <t xml:space="preserve">学习所需道具2类型(银币道具id)</t>
  </si>
  <si>
    <t xml:space="preserve">学习所需道具2数量(银币数量)</t>
  </si>
  <si>
    <t xml:space="preserve">气血上限加成效果的数值</t>
  </si>
  <si>
    <t xml:space="preserve">真元上限加成效果的数值</t>
  </si>
  <si>
    <t xml:space="preserve">spell_id:int</t>
  </si>
  <si>
    <t xml:space="preserve">spell_name:str</t>
  </si>
  <si>
    <t xml:space="preserve">spell_desc:str</t>
  </si>
  <si>
    <t xml:space="preserve">spell_script:str</t>
  </si>
  <si>
    <t xml:space="preserve">required_develop:int</t>
  </si>
  <si>
    <t xml:space="preserve">required_player_level:int</t>
  </si>
  <si>
    <t xml:space="preserve">upgrade_costs[0][0]:int</t>
  </si>
  <si>
    <t xml:space="preserve">upgrade_costs[0][1]:int</t>
  </si>
  <si>
    <t xml:space="preserve">upgrade_costs[1][0]:int</t>
  </si>
  <si>
    <t xml:space="preserve">upgrade_costs[1][1]:int</t>
  </si>
  <si>
    <t xml:space="preserve">hp_max_rate:float</t>
  </si>
  <si>
    <t xml:space="preserve">mp_max_rate:float</t>
  </si>
  <si>
    <t xml:space="preserve">key:1</t>
  </si>
  <si>
    <t xml:space="preserve">key:2</t>
  </si>
  <si>
    <t xml:space="preserve">强身术</t>
  </si>
  <si>
    <t xml:space="preserve">强身健体是习武之人的根本，每学习一级可以提高一定的气血上限。</t>
  </si>
  <si>
    <t xml:space="preserve">vitality</t>
  </si>
  <si>
    <t xml:space="preserve">冥想</t>
  </si>
  <si>
    <t xml:space="preserve">通过冥想凝聚强大的精神力量，修习可以提高法力，每学习一级可以提高一定的魔法上限。</t>
  </si>
  <si>
    <t xml:space="preserve">meditation</t>
  </si>
  <si>
    <t xml:space="preserve">打造技巧</t>
  </si>
  <si>
    <t xml:space="preserve">铸造名家欧冶子传下的技能，可以提高打造武器的能力。</t>
  </si>
  <si>
    <t xml:space="preserve">blacksmith</t>
  </si>
  <si>
    <t xml:space="preserve">裁缝技巧</t>
  </si>
  <si>
    <t xml:space="preserve">从天衣无缝针法演化而来的技能，可提高制作头盔和衣甲的能力。</t>
  </si>
  <si>
    <t xml:space="preserve">tailoring</t>
  </si>
  <si>
    <t xml:space="preserve">炼金技巧</t>
  </si>
  <si>
    <t xml:space="preserve">秘术士私传的炼金之术，可以提高制作饰品、靴子和腰带的能力。</t>
  </si>
  <si>
    <t xml:space="preserve">alchemy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</si>
</sst>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等线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rgb="FF000000"/>
      <name val="宋体"/>
      <family val="3"/>
      <charset val="134"/>
    </font>
    <font>
      <sz val="12"/>
      <name val="宋体"/>
      <family val="3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CC99"/>
        <bgColor rgb="FFF8CBAD"/>
      </patternFill>
    </fill>
    <fill>
      <patternFill patternType="solid">
        <fgColor theme="5" tint="0.5999"/>
        <bgColor rgb="FFFFCC99"/>
      </patternFill>
    </fill>
    <fill>
      <patternFill patternType="solid">
        <fgColor rgb="FFFF0000"/>
        <bgColor rgb="FF9C0006"/>
      </patternFill>
    </fill>
    <fill>
      <patternFill patternType="solid">
        <fgColor theme="4" tint="0.7999"/>
        <bgColor rgb="FFCCFFFF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_CONFIG" xfId="20"/>
    <cellStyle name="常规_Sheet1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8CBAD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9.25"/>
    <col collapsed="false" customWidth="true" hidden="false" outlineLevel="0" max="2" min="2" style="1" width="18.34"/>
    <col collapsed="false" customWidth="true" hidden="false" outlineLevel="0" max="3" min="3" style="1" width="22.75"/>
    <col collapsed="false" customWidth="true" hidden="false" outlineLevel="0" max="4" min="4" style="1" width="33.83"/>
  </cols>
  <sheetData>
    <row r="1" customFormat="false" ht="15" hidden="false" customHeight="true" outlineLevel="0" collapsed="false">
      <c r="A1" s="2" t="s">
        <v>0</v>
      </c>
      <c r="B1" s="3" t="s">
        <v>1</v>
      </c>
      <c r="C1" s="4"/>
    </row>
    <row r="2" customFormat="false" ht="15" hidden="false" customHeight="true" outlineLevel="0" collapsed="false">
      <c r="A2" s="5" t="s">
        <v>2</v>
      </c>
      <c r="B2" s="6"/>
      <c r="C2" s="4"/>
    </row>
    <row r="3" customFormat="false" ht="16.5" hidden="false" customHeight="true" outlineLevel="0" collapsed="false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</row>
    <row r="4" customFormat="false" ht="14.25" hidden="false" customHeight="true" outlineLevel="0" collapsed="false">
      <c r="B4" s="4" t="s">
        <v>8</v>
      </c>
      <c r="C4" s="4" t="s">
        <v>9</v>
      </c>
      <c r="D4" s="8" t="s">
        <v>10</v>
      </c>
      <c r="E4" s="4" t="s">
        <v>11</v>
      </c>
    </row>
    <row r="5" customFormat="false" ht="13.5" hidden="false" customHeight="true" outlineLevel="0" collapsed="false">
      <c r="A5" s="1" t="s">
        <v>12</v>
      </c>
      <c r="B5" s="4" t="s">
        <v>13</v>
      </c>
      <c r="C5" s="4" t="s">
        <v>14</v>
      </c>
      <c r="D5" s="4" t="s">
        <v>15</v>
      </c>
    </row>
    <row r="6" customFormat="false" ht="13.5" hidden="false" customHeight="true" outlineLevel="0" collapsed="false">
      <c r="B6" s="4" t="s">
        <v>16</v>
      </c>
      <c r="C6" s="4" t="s">
        <v>14</v>
      </c>
      <c r="D6" s="4" t="s">
        <v>15</v>
      </c>
    </row>
    <row r="7" customFormat="false" ht="13.5" hidden="false" customHeight="true" outlineLevel="0" collapsed="false">
      <c r="A7" s="1" t="s">
        <v>17</v>
      </c>
      <c r="B7" s="4" t="s">
        <v>13</v>
      </c>
      <c r="C7" s="4" t="s">
        <v>18</v>
      </c>
      <c r="D7" s="4" t="s">
        <v>19</v>
      </c>
    </row>
    <row r="8" customFormat="false" ht="13.5" hidden="false" customHeight="true" outlineLevel="0" collapsed="false">
      <c r="B8" s="4" t="s">
        <v>16</v>
      </c>
      <c r="C8" s="4" t="s">
        <v>18</v>
      </c>
      <c r="D8" s="4" t="s">
        <v>19</v>
      </c>
    </row>
    <row r="9" customFormat="false" ht="13.5" hidden="false" customHeight="true" outlineLevel="0" collapsed="false">
      <c r="A9" s="1" t="s">
        <v>20</v>
      </c>
      <c r="B9" s="4" t="s">
        <v>13</v>
      </c>
      <c r="C9" s="4" t="s">
        <v>21</v>
      </c>
      <c r="D9" s="4" t="s">
        <v>22</v>
      </c>
    </row>
    <row r="10" customFormat="false" ht="13.5" hidden="false" customHeight="true" outlineLevel="0" collapsed="false">
      <c r="B10" s="4" t="s">
        <v>16</v>
      </c>
      <c r="C10" s="4" t="s">
        <v>21</v>
      </c>
      <c r="D10" s="4" t="s">
        <v>22</v>
      </c>
    </row>
    <row r="11" customFormat="false" ht="13.5" hidden="false" customHeight="true" outlineLevel="0" collapsed="false">
      <c r="A11" s="1" t="s">
        <v>23</v>
      </c>
      <c r="B11" s="4" t="s">
        <v>13</v>
      </c>
      <c r="C11" s="4" t="s">
        <v>24</v>
      </c>
      <c r="D11" s="4" t="s">
        <v>25</v>
      </c>
    </row>
    <row r="12" customFormat="false" ht="13.5" hidden="false" customHeight="true" outlineLevel="0" collapsed="false">
      <c r="B12" s="4" t="s">
        <v>16</v>
      </c>
      <c r="C12" s="4" t="s">
        <v>24</v>
      </c>
      <c r="D12" s="4" t="s">
        <v>25</v>
      </c>
    </row>
    <row r="13" customFormat="false" ht="13.5" hidden="false" customHeight="true" outlineLevel="0" collapsed="false">
      <c r="A13" s="1" t="s">
        <v>26</v>
      </c>
      <c r="B13" s="4" t="s">
        <v>13</v>
      </c>
      <c r="C13" s="4" t="s">
        <v>27</v>
      </c>
      <c r="D13" s="4" t="s">
        <v>28</v>
      </c>
    </row>
    <row r="14" customFormat="false" ht="13.5" hidden="false" customHeight="true" outlineLevel="0" collapsed="false">
      <c r="B14" s="4" t="s">
        <v>16</v>
      </c>
      <c r="C14" s="4" t="s">
        <v>27</v>
      </c>
      <c r="D14" s="4" t="s">
        <v>28</v>
      </c>
    </row>
    <row r="15" customFormat="false" ht="13.5" hidden="false" customHeight="true" outlineLevel="0" collapsed="false">
      <c r="A15" s="1" t="s">
        <v>29</v>
      </c>
      <c r="B15" s="4" t="s">
        <v>13</v>
      </c>
      <c r="C15" s="4" t="s">
        <v>30</v>
      </c>
      <c r="D15" s="4" t="s">
        <v>31</v>
      </c>
    </row>
    <row r="16" customFormat="false" ht="13.5" hidden="false" customHeight="true" outlineLevel="0" collapsed="false">
      <c r="B16" s="4" t="s">
        <v>16</v>
      </c>
      <c r="C16" s="4" t="s">
        <v>30</v>
      </c>
      <c r="D16" s="4" t="s">
        <v>31</v>
      </c>
    </row>
    <row r="17" customFormat="false" ht="13.5" hidden="false" customHeight="true" outlineLevel="0" collapsed="false">
      <c r="A17" s="1" t="s">
        <v>32</v>
      </c>
      <c r="B17" s="4" t="s">
        <v>13</v>
      </c>
      <c r="C17" s="4" t="s">
        <v>33</v>
      </c>
      <c r="D17" s="4" t="s">
        <v>34</v>
      </c>
    </row>
    <row r="18" customFormat="false" ht="13.5" hidden="false" customHeight="true" outlineLevel="0" collapsed="false">
      <c r="B18" s="4" t="s">
        <v>16</v>
      </c>
      <c r="C18" s="4" t="s">
        <v>33</v>
      </c>
      <c r="D18" s="4" t="s">
        <v>34</v>
      </c>
    </row>
    <row r="19" customFormat="false" ht="13.5" hidden="false" customHeight="true" outlineLevel="0" collapsed="false">
      <c r="A19" s="1" t="s">
        <v>35</v>
      </c>
      <c r="B19" s="4" t="s">
        <v>13</v>
      </c>
      <c r="C19" s="4" t="s">
        <v>36</v>
      </c>
      <c r="D19" s="4" t="s">
        <v>37</v>
      </c>
    </row>
    <row r="20" customFormat="false" ht="13.5" hidden="false" customHeight="true" outlineLevel="0" collapsed="false">
      <c r="B20" s="4" t="s">
        <v>16</v>
      </c>
      <c r="C20" s="4" t="s">
        <v>36</v>
      </c>
      <c r="D20" s="4" t="s">
        <v>37</v>
      </c>
    </row>
    <row r="21" customFormat="false" ht="13.5" hidden="false" customHeight="true" outlineLevel="0" collapsed="false">
      <c r="A21" s="1" t="s">
        <v>38</v>
      </c>
      <c r="B21" s="4" t="s">
        <v>13</v>
      </c>
      <c r="C21" s="4" t="s">
        <v>39</v>
      </c>
      <c r="D21" s="4" t="s">
        <v>40</v>
      </c>
    </row>
    <row r="22" customFormat="false" ht="13.5" hidden="false" customHeight="true" outlineLevel="0" collapsed="false">
      <c r="B22" s="4" t="s">
        <v>16</v>
      </c>
      <c r="C22" s="4" t="s">
        <v>39</v>
      </c>
      <c r="D22" s="4" t="s">
        <v>40</v>
      </c>
    </row>
    <row r="23" customFormat="false" ht="13.5" hidden="false" customHeight="true" outlineLevel="0" collapsed="false">
      <c r="A23" s="1" t="s">
        <v>41</v>
      </c>
      <c r="B23" s="4" t="s">
        <v>13</v>
      </c>
      <c r="C23" s="4" t="s">
        <v>42</v>
      </c>
      <c r="D23" s="4" t="s">
        <v>43</v>
      </c>
    </row>
    <row r="24" customFormat="false" ht="13.5" hidden="false" customHeight="true" outlineLevel="0" collapsed="false">
      <c r="B24" s="4" t="s">
        <v>16</v>
      </c>
      <c r="C24" s="4" t="s">
        <v>42</v>
      </c>
      <c r="D24" s="4" t="s">
        <v>43</v>
      </c>
    </row>
    <row r="25" customFormat="false" ht="13.5" hidden="false" customHeight="true" outlineLevel="0" collapsed="false">
      <c r="A25" s="1" t="s">
        <v>44</v>
      </c>
      <c r="B25" s="4" t="s">
        <v>13</v>
      </c>
      <c r="C25" s="4" t="s">
        <v>45</v>
      </c>
      <c r="D25" s="4" t="s">
        <v>46</v>
      </c>
    </row>
    <row r="26" customFormat="false" ht="13.5" hidden="false" customHeight="true" outlineLevel="0" collapsed="false">
      <c r="B26" s="4" t="s">
        <v>16</v>
      </c>
      <c r="C26" s="4" t="s">
        <v>45</v>
      </c>
      <c r="D26" s="4" t="s">
        <v>46</v>
      </c>
    </row>
    <row r="27" customFormat="false" ht="13.5" hidden="false" customHeight="true" outlineLevel="0" collapsed="false">
      <c r="A27" s="1" t="s">
        <v>47</v>
      </c>
      <c r="B27" s="4" t="s">
        <v>13</v>
      </c>
      <c r="C27" s="4" t="s">
        <v>48</v>
      </c>
      <c r="D27" s="4" t="s">
        <v>49</v>
      </c>
    </row>
    <row r="28" customFormat="false" ht="13.5" hidden="false" customHeight="true" outlineLevel="0" collapsed="false">
      <c r="B28" s="4" t="s">
        <v>16</v>
      </c>
      <c r="C28" s="4" t="s">
        <v>48</v>
      </c>
      <c r="D28" s="4" t="s">
        <v>49</v>
      </c>
    </row>
    <row r="29" customFormat="false" ht="13.5" hidden="false" customHeight="true" outlineLevel="0" collapsed="false">
      <c r="A29" s="1" t="s">
        <v>50</v>
      </c>
      <c r="B29" s="4" t="s">
        <v>13</v>
      </c>
      <c r="C29" s="4" t="s">
        <v>51</v>
      </c>
      <c r="D29" s="4" t="s">
        <v>52</v>
      </c>
    </row>
    <row r="30" customFormat="false" ht="13.5" hidden="false" customHeight="true" outlineLevel="0" collapsed="false">
      <c r="B30" s="4" t="s">
        <v>16</v>
      </c>
      <c r="C30" s="4" t="s">
        <v>51</v>
      </c>
      <c r="D30" s="4" t="s">
        <v>52</v>
      </c>
    </row>
    <row r="31" customFormat="false" ht="13.5" hidden="false" customHeight="true" outlineLevel="0" collapsed="false">
      <c r="A31" s="1" t="s">
        <v>53</v>
      </c>
      <c r="B31" s="4" t="s">
        <v>13</v>
      </c>
      <c r="C31" s="4" t="s">
        <v>54</v>
      </c>
      <c r="D31" s="4" t="s">
        <v>55</v>
      </c>
    </row>
    <row r="32" customFormat="false" ht="13.5" hidden="false" customHeight="true" outlineLevel="0" collapsed="false">
      <c r="B32" s="4" t="s">
        <v>16</v>
      </c>
      <c r="C32" s="4" t="s">
        <v>54</v>
      </c>
      <c r="D32" s="4" t="s">
        <v>55</v>
      </c>
    </row>
    <row r="33" customFormat="false" ht="13.5" hidden="false" customHeight="true" outlineLevel="0" collapsed="false">
      <c r="A33" s="1" t="s">
        <v>56</v>
      </c>
      <c r="B33" s="4" t="s">
        <v>13</v>
      </c>
      <c r="C33" s="4" t="s">
        <v>57</v>
      </c>
      <c r="D33" s="4" t="s">
        <v>58</v>
      </c>
    </row>
    <row r="34" customFormat="false" ht="13.5" hidden="false" customHeight="true" outlineLevel="0" collapsed="false">
      <c r="B34" s="4" t="s">
        <v>16</v>
      </c>
      <c r="C34" s="4" t="s">
        <v>57</v>
      </c>
      <c r="D34" s="4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6"/>
  <sheetViews>
    <sheetView showFormulas="false" showGridLines="true" showRowColHeaders="true" showZeros="true" rightToLeft="false" tabSelected="true" showOutlineSymbols="true" defaultGridColor="true" view="normal" topLeftCell="A48" colorId="64" zoomScale="100" zoomScaleNormal="100" zoomScalePageLayoutView="100" workbookViewId="0">
      <selection pane="topLeft" activeCell="E86" activeCellId="0" sqref="E86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9" width="52.34"/>
    <col collapsed="false" customWidth="true" hidden="false" outlineLevel="0" max="2" min="2" style="10" width="11.34"/>
    <col collapsed="false" customWidth="true" hidden="false" outlineLevel="0" max="3" min="3" style="10" width="20.59"/>
    <col collapsed="false" customWidth="true" hidden="false" outlineLevel="0" max="4" min="4" style="10" width="62.5"/>
    <col collapsed="false" customWidth="true" hidden="false" outlineLevel="0" max="5" min="5" style="10" width="79.25"/>
    <col collapsed="false" customWidth="false" hidden="false" outlineLevel="0" max="16384" min="6" style="10" width="9"/>
  </cols>
  <sheetData>
    <row r="1" customFormat="false" ht="16.5" hidden="false" customHeight="true" outlineLevel="0" collapsed="false">
      <c r="A1" s="11" t="s">
        <v>59</v>
      </c>
      <c r="B1" s="12" t="s">
        <v>60</v>
      </c>
      <c r="C1" s="12" t="s">
        <v>61</v>
      </c>
      <c r="D1" s="12" t="s">
        <v>62</v>
      </c>
    </row>
    <row r="2" customFormat="false" ht="16.5" hidden="false" customHeight="true" outlineLevel="0" collapsed="false">
      <c r="A2" s="11" t="s">
        <v>63</v>
      </c>
      <c r="B2" s="13" t="s">
        <v>64</v>
      </c>
      <c r="C2" s="13" t="s">
        <v>65</v>
      </c>
      <c r="D2" s="13" t="s">
        <v>66</v>
      </c>
    </row>
    <row r="3" customFormat="false" ht="16.5" hidden="false" customHeight="true" outlineLevel="0" collapsed="false">
      <c r="A3" s="11"/>
      <c r="B3" s="12"/>
      <c r="C3" s="12"/>
      <c r="D3" s="12"/>
    </row>
    <row r="4" customFormat="false" ht="16.5" hidden="false" customHeight="true" outlineLevel="0" collapsed="false">
      <c r="A4" s="11"/>
      <c r="B4" s="12"/>
      <c r="C4" s="12"/>
      <c r="D4" s="12"/>
    </row>
    <row r="5" customFormat="false" ht="13.5" hidden="false" customHeight="true" outlineLevel="0" collapsed="false">
      <c r="A5" s="9" t="s">
        <v>67</v>
      </c>
      <c r="B5" s="10" t="s">
        <v>68</v>
      </c>
      <c r="C5" s="10" t="n">
        <v>5</v>
      </c>
      <c r="D5" s="10" t="s">
        <v>69</v>
      </c>
    </row>
    <row r="6" customFormat="false" ht="13.5" hidden="false" customHeight="true" outlineLevel="0" collapsed="false">
      <c r="A6" s="9" t="s">
        <v>70</v>
      </c>
      <c r="B6" s="10" t="s">
        <v>68</v>
      </c>
      <c r="C6" s="10" t="n">
        <v>2</v>
      </c>
      <c r="D6" s="10" t="s">
        <v>71</v>
      </c>
    </row>
    <row r="7" customFormat="false" ht="13.5" hidden="false" customHeight="true" outlineLevel="0" collapsed="false">
      <c r="A7" s="9" t="s">
        <v>72</v>
      </c>
      <c r="B7" s="10" t="s">
        <v>68</v>
      </c>
      <c r="C7" s="10" t="n">
        <v>50</v>
      </c>
      <c r="D7" s="10" t="s">
        <v>73</v>
      </c>
    </row>
    <row r="8" customFormat="false" ht="13.5" hidden="false" customHeight="true" outlineLevel="0" collapsed="false">
      <c r="A8" s="9" t="s">
        <v>74</v>
      </c>
      <c r="B8" s="10" t="s">
        <v>68</v>
      </c>
      <c r="C8" s="10" t="n">
        <v>1</v>
      </c>
      <c r="D8" s="10" t="s">
        <v>75</v>
      </c>
    </row>
    <row r="9" customFormat="false" ht="13.5" hidden="false" customHeight="true" outlineLevel="0" collapsed="false">
      <c r="A9" s="9" t="s">
        <v>76</v>
      </c>
      <c r="B9" s="10" t="s">
        <v>68</v>
      </c>
      <c r="C9" s="10" t="n">
        <v>20</v>
      </c>
      <c r="D9" s="10" t="s">
        <v>77</v>
      </c>
    </row>
    <row r="10" customFormat="false" ht="13.5" hidden="false" customHeight="true" outlineLevel="0" collapsed="false">
      <c r="A10" s="9" t="s">
        <v>78</v>
      </c>
      <c r="B10" s="10" t="s">
        <v>68</v>
      </c>
      <c r="C10" s="10" t="n">
        <v>20</v>
      </c>
      <c r="D10" s="10" t="s">
        <v>79</v>
      </c>
    </row>
    <row r="11" customFormat="false" ht="13.5" hidden="false" customHeight="true" outlineLevel="0" collapsed="false">
      <c r="A11" s="9" t="s">
        <v>80</v>
      </c>
      <c r="B11" s="10" t="s">
        <v>68</v>
      </c>
      <c r="C11" s="10" t="n">
        <v>20</v>
      </c>
      <c r="D11" s="10" t="s">
        <v>81</v>
      </c>
    </row>
    <row r="12" customFormat="false" ht="13.5" hidden="false" customHeight="true" outlineLevel="0" collapsed="false">
      <c r="A12" s="9" t="s">
        <v>82</v>
      </c>
      <c r="B12" s="10" t="s">
        <v>68</v>
      </c>
      <c r="C12" s="10" t="n">
        <v>50</v>
      </c>
      <c r="D12" s="10" t="s">
        <v>83</v>
      </c>
    </row>
    <row r="13" customFormat="false" ht="13.5" hidden="false" customHeight="true" outlineLevel="0" collapsed="false">
      <c r="A13" s="9" t="s">
        <v>84</v>
      </c>
      <c r="B13" s="10" t="s">
        <v>68</v>
      </c>
      <c r="C13" s="10" t="n">
        <v>600</v>
      </c>
      <c r="D13" s="10" t="s">
        <v>85</v>
      </c>
    </row>
    <row r="14" customFormat="false" ht="13.5" hidden="false" customHeight="true" outlineLevel="0" collapsed="false">
      <c r="A14" s="9" t="s">
        <v>86</v>
      </c>
      <c r="B14" s="10" t="s">
        <v>68</v>
      </c>
      <c r="C14" s="10" t="n">
        <v>14</v>
      </c>
      <c r="D14" s="10" t="s">
        <v>87</v>
      </c>
    </row>
    <row r="15" customFormat="false" ht="13.5" hidden="false" customHeight="true" outlineLevel="0" collapsed="false">
      <c r="A15" s="9" t="s">
        <v>88</v>
      </c>
      <c r="B15" s="10" t="s">
        <v>68</v>
      </c>
      <c r="C15" s="10" t="n">
        <v>9000</v>
      </c>
      <c r="D15" s="10" t="s">
        <v>89</v>
      </c>
    </row>
    <row r="16" customFormat="false" ht="13.5" hidden="false" customHeight="true" outlineLevel="0" collapsed="false">
      <c r="A16" s="9" t="s">
        <v>90</v>
      </c>
      <c r="B16" s="10" t="s">
        <v>68</v>
      </c>
      <c r="C16" s="10" t="n">
        <v>1000</v>
      </c>
      <c r="D16" s="10" t="s">
        <v>91</v>
      </c>
    </row>
    <row r="17" customFormat="false" ht="13.5" hidden="false" customHeight="true" outlineLevel="0" collapsed="false">
      <c r="A17" s="9" t="s">
        <v>92</v>
      </c>
      <c r="B17" s="10" t="s">
        <v>68</v>
      </c>
      <c r="C17" s="10" t="n">
        <v>1800</v>
      </c>
      <c r="D17" s="10" t="s">
        <v>93</v>
      </c>
    </row>
    <row r="18" customFormat="false" ht="13.5" hidden="false" customHeight="true" outlineLevel="0" collapsed="false">
      <c r="A18" s="9" t="s">
        <v>94</v>
      </c>
      <c r="B18" s="10" t="s">
        <v>95</v>
      </c>
      <c r="C18" s="10" t="n">
        <v>0.1</v>
      </c>
      <c r="D18" s="10" t="s">
        <v>96</v>
      </c>
    </row>
    <row r="19" customFormat="false" ht="13.5" hidden="false" customHeight="true" outlineLevel="0" collapsed="false">
      <c r="A19" s="9" t="s">
        <v>97</v>
      </c>
      <c r="B19" s="10" t="s">
        <v>68</v>
      </c>
      <c r="C19" s="10" t="n">
        <v>2</v>
      </c>
      <c r="D19" s="10" t="s">
        <v>98</v>
      </c>
    </row>
    <row r="20" customFormat="false" ht="13.5" hidden="false" customHeight="true" outlineLevel="0" collapsed="false">
      <c r="A20" s="9" t="s">
        <v>99</v>
      </c>
      <c r="B20" s="10" t="s">
        <v>68</v>
      </c>
      <c r="C20" s="10" t="n">
        <v>50</v>
      </c>
      <c r="D20" s="10" t="s">
        <v>100</v>
      </c>
    </row>
    <row r="21" customFormat="false" ht="13.5" hidden="false" customHeight="true" outlineLevel="0" collapsed="false">
      <c r="A21" s="9" t="s">
        <v>101</v>
      </c>
      <c r="B21" s="10" t="s">
        <v>95</v>
      </c>
      <c r="C21" s="10" t="n">
        <v>0.1</v>
      </c>
      <c r="D21" s="10" t="s">
        <v>102</v>
      </c>
    </row>
    <row r="22" customFormat="false" ht="13.5" hidden="false" customHeight="true" outlineLevel="0" collapsed="false">
      <c r="A22" s="9" t="s">
        <v>103</v>
      </c>
      <c r="B22" s="10" t="s">
        <v>68</v>
      </c>
      <c r="C22" s="10" t="n">
        <v>2</v>
      </c>
      <c r="D22" s="10" t="s">
        <v>104</v>
      </c>
    </row>
    <row r="23" customFormat="false" ht="13.5" hidden="false" customHeight="true" outlineLevel="0" collapsed="false">
      <c r="A23" s="9" t="s">
        <v>105</v>
      </c>
      <c r="B23" s="10" t="s">
        <v>68</v>
      </c>
      <c r="C23" s="10" t="n">
        <v>10</v>
      </c>
      <c r="D23" s="10" t="s">
        <v>106</v>
      </c>
    </row>
    <row r="24" customFormat="false" ht="13.5" hidden="false" customHeight="true" outlineLevel="0" collapsed="false">
      <c r="A24" s="9" t="s">
        <v>107</v>
      </c>
      <c r="B24" s="10" t="s">
        <v>95</v>
      </c>
      <c r="C24" s="10" t="n">
        <v>0.5</v>
      </c>
      <c r="D24" s="10" t="s">
        <v>108</v>
      </c>
    </row>
    <row r="25" customFormat="false" ht="13.5" hidden="false" customHeight="true" outlineLevel="0" collapsed="false">
      <c r="A25" s="9" t="s">
        <v>109</v>
      </c>
      <c r="B25" s="10" t="s">
        <v>68</v>
      </c>
      <c r="C25" s="10" t="n">
        <v>3</v>
      </c>
      <c r="D25" s="10" t="s">
        <v>110</v>
      </c>
    </row>
    <row r="26" customFormat="false" ht="13.5" hidden="false" customHeight="true" outlineLevel="0" collapsed="false">
      <c r="A26" s="9" t="s">
        <v>111</v>
      </c>
      <c r="B26" s="10" t="s">
        <v>68</v>
      </c>
      <c r="C26" s="10" t="n">
        <v>10</v>
      </c>
      <c r="D26" s="10" t="s">
        <v>112</v>
      </c>
    </row>
    <row r="27" customFormat="false" ht="13.5" hidden="false" customHeight="true" outlineLevel="0" collapsed="false">
      <c r="A27" s="9" t="s">
        <v>113</v>
      </c>
      <c r="B27" s="10" t="s">
        <v>68</v>
      </c>
      <c r="C27" s="10" t="n">
        <v>86400</v>
      </c>
      <c r="D27" s="10" t="s">
        <v>114</v>
      </c>
      <c r="E27" s="10" t="n">
        <f aca="false">1 * 86400</f>
        <v>86400</v>
      </c>
    </row>
    <row r="28" customFormat="false" ht="13.5" hidden="false" customHeight="true" outlineLevel="0" collapsed="false">
      <c r="A28" s="9" t="s">
        <v>115</v>
      </c>
      <c r="B28" s="10" t="s">
        <v>68</v>
      </c>
      <c r="C28" s="10" t="n">
        <v>60</v>
      </c>
      <c r="D28" s="10" t="s">
        <v>116</v>
      </c>
    </row>
    <row r="29" customFormat="false" ht="13.5" hidden="false" customHeight="true" outlineLevel="0" collapsed="false">
      <c r="A29" s="9" t="s">
        <v>117</v>
      </c>
      <c r="B29" s="10" t="s">
        <v>68</v>
      </c>
      <c r="C29" s="10" t="n">
        <v>20</v>
      </c>
      <c r="D29" s="10" t="s">
        <v>118</v>
      </c>
    </row>
    <row r="30" customFormat="false" ht="13.5" hidden="false" customHeight="true" outlineLevel="0" collapsed="false">
      <c r="A30" s="9" t="s">
        <v>119</v>
      </c>
      <c r="B30" s="10" t="s">
        <v>68</v>
      </c>
      <c r="C30" s="10" t="n">
        <v>300</v>
      </c>
      <c r="D30" s="10" t="s">
        <v>120</v>
      </c>
      <c r="E30" s="10" t="n">
        <f aca="false">5*60</f>
        <v>300</v>
      </c>
    </row>
    <row r="31" customFormat="false" ht="13.5" hidden="false" customHeight="true" outlineLevel="0" collapsed="false">
      <c r="A31" s="9" t="s">
        <v>121</v>
      </c>
      <c r="B31" s="10" t="s">
        <v>68</v>
      </c>
      <c r="C31" s="10" t="n">
        <v>40</v>
      </c>
      <c r="D31" s="10" t="s">
        <v>122</v>
      </c>
    </row>
    <row r="32" customFormat="false" ht="13.5" hidden="false" customHeight="true" outlineLevel="0" collapsed="false">
      <c r="A32" s="9" t="s">
        <v>123</v>
      </c>
      <c r="B32" s="10" t="s">
        <v>68</v>
      </c>
      <c r="C32" s="10" t="n">
        <v>50</v>
      </c>
      <c r="D32" s="10" t="s">
        <v>124</v>
      </c>
    </row>
    <row r="33" customFormat="false" ht="13.5" hidden="false" customHeight="true" outlineLevel="0" collapsed="false">
      <c r="A33" s="9" t="s">
        <v>125</v>
      </c>
      <c r="B33" s="10" t="s">
        <v>68</v>
      </c>
      <c r="C33" s="10" t="n">
        <v>150</v>
      </c>
      <c r="D33" s="10" t="s">
        <v>126</v>
      </c>
    </row>
    <row r="34" customFormat="false" ht="13.5" hidden="false" customHeight="true" outlineLevel="0" collapsed="false">
      <c r="A34" s="9" t="s">
        <v>127</v>
      </c>
      <c r="B34" s="10" t="s">
        <v>68</v>
      </c>
      <c r="C34" s="10" t="n">
        <v>172800</v>
      </c>
      <c r="D34" s="10" t="s">
        <v>128</v>
      </c>
      <c r="E34" s="10" t="n">
        <f aca="false">2*86400</f>
        <v>172800</v>
      </c>
    </row>
    <row r="35" customFormat="false" ht="13.5" hidden="false" customHeight="true" outlineLevel="0" collapsed="false">
      <c r="A35" s="9" t="s">
        <v>129</v>
      </c>
      <c r="B35" s="10" t="s">
        <v>68</v>
      </c>
      <c r="C35" s="10" t="n">
        <v>1</v>
      </c>
      <c r="D35" s="10" t="s">
        <v>130</v>
      </c>
    </row>
    <row r="36" customFormat="false" ht="13.5" hidden="false" customHeight="true" outlineLevel="0" collapsed="false">
      <c r="A36" s="9" t="s">
        <v>131</v>
      </c>
      <c r="B36" s="10" t="s">
        <v>68</v>
      </c>
      <c r="C36" s="10" t="n">
        <v>50</v>
      </c>
      <c r="D36" s="10" t="s">
        <v>132</v>
      </c>
    </row>
    <row r="37" customFormat="false" ht="13.5" hidden="false" customHeight="true" outlineLevel="0" collapsed="false">
      <c r="A37" s="9" t="s">
        <v>133</v>
      </c>
      <c r="B37" s="10" t="s">
        <v>68</v>
      </c>
      <c r="C37" s="10" t="n">
        <v>604800</v>
      </c>
      <c r="D37" s="10" t="s">
        <v>134</v>
      </c>
      <c r="E37" s="10" t="n">
        <f aca="false">7*86400</f>
        <v>604800</v>
      </c>
    </row>
    <row r="38" customFormat="false" ht="13.5" hidden="false" customHeight="true" outlineLevel="0" collapsed="false">
      <c r="A38" s="9" t="s">
        <v>135</v>
      </c>
      <c r="B38" s="10" t="s">
        <v>68</v>
      </c>
      <c r="C38" s="10" t="n">
        <v>86400</v>
      </c>
      <c r="D38" s="10" t="s">
        <v>136</v>
      </c>
      <c r="E38" s="10" t="n">
        <f aca="false">1*86400</f>
        <v>86400</v>
      </c>
    </row>
    <row r="39" customFormat="false" ht="13.5" hidden="false" customHeight="true" outlineLevel="0" collapsed="false">
      <c r="A39" s="9" t="s">
        <v>137</v>
      </c>
      <c r="B39" s="10" t="s">
        <v>68</v>
      </c>
      <c r="C39" s="10" t="n">
        <v>604800</v>
      </c>
      <c r="D39" s="10" t="s">
        <v>138</v>
      </c>
      <c r="E39" s="10" t="n">
        <f aca="false">7*86400</f>
        <v>604800</v>
      </c>
    </row>
    <row r="40" customFormat="false" ht="13.5" hidden="false" customHeight="true" outlineLevel="0" collapsed="false">
      <c r="A40" s="9" t="s">
        <v>139</v>
      </c>
      <c r="B40" s="10" t="s">
        <v>95</v>
      </c>
      <c r="C40" s="10" t="n">
        <v>0.5</v>
      </c>
      <c r="D40" s="10" t="s">
        <v>140</v>
      </c>
    </row>
    <row r="41" customFormat="false" ht="13.5" hidden="false" customHeight="true" outlineLevel="0" collapsed="false">
      <c r="A41" s="9" t="s">
        <v>141</v>
      </c>
      <c r="B41" s="10" t="s">
        <v>95</v>
      </c>
      <c r="C41" s="10" t="n">
        <v>0.3</v>
      </c>
      <c r="D41" s="10" t="s">
        <v>142</v>
      </c>
    </row>
    <row r="42" customFormat="false" ht="13.5" hidden="false" customHeight="true" outlineLevel="0" collapsed="false">
      <c r="A42" s="9" t="s">
        <v>143</v>
      </c>
      <c r="B42" s="10" t="s">
        <v>68</v>
      </c>
      <c r="C42" s="10" t="n">
        <v>24001</v>
      </c>
      <c r="D42" s="10" t="s">
        <v>144</v>
      </c>
      <c r="E42" s="10" t="s">
        <v>145</v>
      </c>
    </row>
    <row r="43" customFormat="false" ht="13.5" hidden="false" customHeight="true" outlineLevel="0" collapsed="false">
      <c r="A43" s="9" t="s">
        <v>146</v>
      </c>
      <c r="B43" s="10" t="s">
        <v>68</v>
      </c>
      <c r="C43" s="10" t="n">
        <v>10000</v>
      </c>
      <c r="D43" s="10" t="s">
        <v>147</v>
      </c>
    </row>
    <row r="44" customFormat="false" ht="13.5" hidden="false" customHeight="true" outlineLevel="0" collapsed="false">
      <c r="A44" s="9" t="s">
        <v>148</v>
      </c>
      <c r="B44" s="10" t="s">
        <v>68</v>
      </c>
      <c r="C44" s="10" t="n">
        <v>86400</v>
      </c>
      <c r="D44" s="10" t="s">
        <v>149</v>
      </c>
      <c r="E44" s="10" t="n">
        <f aca="false">1*86400</f>
        <v>86400</v>
      </c>
    </row>
    <row r="45" customFormat="false" ht="13.5" hidden="false" customHeight="true" outlineLevel="0" collapsed="false">
      <c r="A45" s="9" t="s">
        <v>150</v>
      </c>
      <c r="B45" s="10" t="s">
        <v>68</v>
      </c>
      <c r="C45" s="10" t="n">
        <v>24002</v>
      </c>
      <c r="D45" s="10" t="s">
        <v>151</v>
      </c>
      <c r="E45" s="10" t="s">
        <v>152</v>
      </c>
    </row>
    <row r="46" customFormat="false" ht="13.5" hidden="false" customHeight="true" outlineLevel="0" collapsed="false">
      <c r="A46" s="9" t="s">
        <v>153</v>
      </c>
      <c r="B46" s="10" t="s">
        <v>68</v>
      </c>
      <c r="C46" s="10" t="n">
        <v>24002</v>
      </c>
      <c r="D46" s="10" t="s">
        <v>154</v>
      </c>
      <c r="E46" s="10" t="s">
        <v>152</v>
      </c>
    </row>
    <row r="47" customFormat="false" ht="13.5" hidden="false" customHeight="true" outlineLevel="0" collapsed="false">
      <c r="A47" s="9" t="s">
        <v>155</v>
      </c>
      <c r="B47" s="10" t="s">
        <v>68</v>
      </c>
      <c r="C47" s="10" t="n">
        <v>10000</v>
      </c>
      <c r="D47" s="10" t="s">
        <v>156</v>
      </c>
    </row>
    <row r="48" customFormat="false" ht="13.5" hidden="false" customHeight="true" outlineLevel="0" collapsed="false">
      <c r="A48" s="9" t="s">
        <v>157</v>
      </c>
      <c r="B48" s="10" t="s">
        <v>68</v>
      </c>
      <c r="C48" s="10" t="n">
        <v>1209600</v>
      </c>
      <c r="D48" s="10" t="s">
        <v>158</v>
      </c>
      <c r="E48" s="10" t="n">
        <f aca="false">14*86400</f>
        <v>1209600</v>
      </c>
    </row>
    <row r="49" customFormat="false" ht="13.5" hidden="false" customHeight="true" outlineLevel="0" collapsed="false">
      <c r="A49" s="9" t="s">
        <v>159</v>
      </c>
      <c r="B49" s="10" t="s">
        <v>68</v>
      </c>
      <c r="C49" s="10" t="n">
        <v>3</v>
      </c>
      <c r="D49" s="10" t="s">
        <v>160</v>
      </c>
    </row>
    <row r="50" customFormat="false" ht="13.5" hidden="false" customHeight="true" outlineLevel="0" collapsed="false">
      <c r="A50" s="9" t="s">
        <v>161</v>
      </c>
      <c r="B50" s="10" t="s">
        <v>68</v>
      </c>
      <c r="C50" s="10" t="n">
        <v>24002</v>
      </c>
      <c r="D50" s="10" t="s">
        <v>162</v>
      </c>
      <c r="E50" s="10" t="s">
        <v>152</v>
      </c>
    </row>
    <row r="51" customFormat="false" ht="13.5" hidden="false" customHeight="true" outlineLevel="0" collapsed="false">
      <c r="A51" s="9" t="s">
        <v>163</v>
      </c>
      <c r="B51" s="10" t="s">
        <v>68</v>
      </c>
      <c r="C51" s="10" t="n">
        <v>30000</v>
      </c>
      <c r="D51" s="10" t="s">
        <v>164</v>
      </c>
    </row>
    <row r="52" customFormat="false" ht="13.5" hidden="false" customHeight="true" outlineLevel="0" collapsed="false">
      <c r="A52" s="9" t="s">
        <v>165</v>
      </c>
      <c r="B52" s="10" t="s">
        <v>68</v>
      </c>
      <c r="C52" s="10" t="n">
        <v>20</v>
      </c>
      <c r="D52" s="10" t="s">
        <v>166</v>
      </c>
    </row>
    <row r="53" customFormat="false" ht="13.5" hidden="false" customHeight="true" outlineLevel="0" collapsed="false">
      <c r="A53" s="9" t="s">
        <v>167</v>
      </c>
      <c r="B53" s="10" t="s">
        <v>68</v>
      </c>
      <c r="C53" s="10" t="n">
        <v>2</v>
      </c>
      <c r="D53" s="10" t="s">
        <v>168</v>
      </c>
    </row>
    <row r="54" customFormat="false" ht="13.5" hidden="false" customHeight="true" outlineLevel="0" collapsed="false">
      <c r="A54" s="9" t="s">
        <v>169</v>
      </c>
      <c r="B54" s="10" t="s">
        <v>68</v>
      </c>
      <c r="C54" s="10" t="n">
        <v>2</v>
      </c>
      <c r="D54" s="10" t="s">
        <v>170</v>
      </c>
    </row>
    <row r="55" customFormat="false" ht="13.5" hidden="false" customHeight="true" outlineLevel="0" collapsed="false">
      <c r="A55" s="9" t="s">
        <v>171</v>
      </c>
      <c r="B55" s="10" t="s">
        <v>68</v>
      </c>
      <c r="C55" s="10" t="n">
        <v>3</v>
      </c>
      <c r="D55" s="10" t="s">
        <v>172</v>
      </c>
    </row>
    <row r="56" customFormat="false" ht="13.5" hidden="false" customHeight="true" outlineLevel="0" collapsed="false">
      <c r="A56" s="9" t="s">
        <v>173</v>
      </c>
      <c r="B56" s="10" t="s">
        <v>68</v>
      </c>
      <c r="C56" s="10" t="n">
        <v>24002</v>
      </c>
      <c r="D56" s="10" t="s">
        <v>174</v>
      </c>
      <c r="E56" s="10" t="s">
        <v>152</v>
      </c>
    </row>
    <row r="57" customFormat="false" ht="13.5" hidden="false" customHeight="true" outlineLevel="0" collapsed="false">
      <c r="A57" s="9" t="s">
        <v>175</v>
      </c>
      <c r="B57" s="10" t="s">
        <v>68</v>
      </c>
      <c r="C57" s="10" t="n">
        <v>30000</v>
      </c>
      <c r="D57" s="10" t="s">
        <v>176</v>
      </c>
    </row>
    <row r="58" customFormat="false" ht="13.5" hidden="false" customHeight="true" outlineLevel="0" collapsed="false">
      <c r="A58" s="9" t="s">
        <v>177</v>
      </c>
      <c r="B58" s="10" t="s">
        <v>68</v>
      </c>
      <c r="C58" s="10" t="n">
        <v>20</v>
      </c>
      <c r="D58" s="10" t="s">
        <v>178</v>
      </c>
    </row>
    <row r="59" customFormat="false" ht="13.5" hidden="false" customHeight="true" outlineLevel="0" collapsed="false">
      <c r="A59" s="9" t="s">
        <v>179</v>
      </c>
      <c r="B59" s="10" t="s">
        <v>68</v>
      </c>
      <c r="C59" s="10" t="n">
        <v>20</v>
      </c>
      <c r="D59" s="10" t="s">
        <v>180</v>
      </c>
    </row>
    <row r="60" customFormat="false" ht="13.5" hidden="false" customHeight="true" outlineLevel="0" collapsed="false">
      <c r="A60" s="9" t="s">
        <v>181</v>
      </c>
      <c r="B60" s="10" t="s">
        <v>68</v>
      </c>
      <c r="C60" s="10" t="n">
        <v>10011</v>
      </c>
      <c r="D60" s="10" t="s">
        <v>182</v>
      </c>
    </row>
    <row r="61" customFormat="false" ht="13.5" hidden="false" customHeight="true" outlineLevel="0" collapsed="false">
      <c r="A61" s="9" t="s">
        <v>183</v>
      </c>
      <c r="B61" s="10" t="s">
        <v>68</v>
      </c>
      <c r="C61" s="10" t="n">
        <v>7</v>
      </c>
      <c r="D61" s="10" t="s">
        <v>184</v>
      </c>
    </row>
    <row r="62" customFormat="false" ht="13.5" hidden="false" customHeight="true" outlineLevel="0" collapsed="false">
      <c r="A62" s="9" t="s">
        <v>185</v>
      </c>
      <c r="B62" s="10" t="s">
        <v>68</v>
      </c>
      <c r="C62" s="10" t="n">
        <v>30001</v>
      </c>
      <c r="D62" s="10" t="s">
        <v>186</v>
      </c>
      <c r="E62" s="10" t="s">
        <v>187</v>
      </c>
    </row>
    <row r="63" customFormat="false" ht="13.5" hidden="false" customHeight="true" outlineLevel="0" collapsed="false">
      <c r="A63" s="9" t="s">
        <v>188</v>
      </c>
      <c r="B63" s="10" t="s">
        <v>68</v>
      </c>
      <c r="C63" s="10" t="n">
        <v>30002</v>
      </c>
      <c r="D63" s="10" t="s">
        <v>189</v>
      </c>
      <c r="E63" s="10" t="s">
        <v>190</v>
      </c>
    </row>
    <row r="64" customFormat="false" ht="13.5" hidden="false" customHeight="true" outlineLevel="0" collapsed="false">
      <c r="A64" s="9" t="s">
        <v>191</v>
      </c>
      <c r="B64" s="10" t="s">
        <v>68</v>
      </c>
      <c r="C64" s="10" t="n">
        <v>30003</v>
      </c>
      <c r="D64" s="10" t="s">
        <v>192</v>
      </c>
      <c r="E64" s="10" t="s">
        <v>193</v>
      </c>
    </row>
    <row r="65" customFormat="false" ht="13.5" hidden="false" customHeight="true" outlineLevel="0" collapsed="false">
      <c r="A65" s="9" t="s">
        <v>194</v>
      </c>
      <c r="B65" s="10" t="s">
        <v>68</v>
      </c>
      <c r="C65" s="10" t="n">
        <v>30004</v>
      </c>
      <c r="D65" s="10" t="s">
        <v>195</v>
      </c>
      <c r="E65" s="10" t="s">
        <v>196</v>
      </c>
    </row>
    <row r="66" customFormat="false" ht="13.5" hidden="false" customHeight="true" outlineLevel="0" collapsed="false">
      <c r="A66" s="9" t="s">
        <v>197</v>
      </c>
      <c r="B66" s="10" t="s">
        <v>68</v>
      </c>
      <c r="C66" s="10" t="n">
        <v>30005</v>
      </c>
      <c r="D66" s="10" t="s">
        <v>198</v>
      </c>
      <c r="E66" s="10" t="s">
        <v>199</v>
      </c>
    </row>
    <row r="67" customFormat="false" ht="13.5" hidden="false" customHeight="true" outlineLevel="0" collapsed="false">
      <c r="A67" s="9" t="s">
        <v>200</v>
      </c>
      <c r="B67" s="10" t="s">
        <v>68</v>
      </c>
      <c r="C67" s="10" t="n">
        <v>30006</v>
      </c>
      <c r="D67" s="10" t="s">
        <v>201</v>
      </c>
      <c r="E67" s="10" t="s">
        <v>202</v>
      </c>
    </row>
    <row r="68" customFormat="false" ht="13.5" hidden="false" customHeight="true" outlineLevel="0" collapsed="false">
      <c r="A68" s="9" t="s">
        <v>203</v>
      </c>
      <c r="B68" s="10" t="s">
        <v>68</v>
      </c>
      <c r="C68" s="10" t="n">
        <v>30007</v>
      </c>
      <c r="D68" s="10" t="s">
        <v>204</v>
      </c>
      <c r="E68" s="10" t="s">
        <v>205</v>
      </c>
    </row>
    <row r="69" customFormat="false" ht="13.5" hidden="false" customHeight="true" outlineLevel="0" collapsed="false">
      <c r="A69" s="9" t="s">
        <v>206</v>
      </c>
      <c r="B69" s="10" t="s">
        <v>68</v>
      </c>
      <c r="C69" s="10" t="n">
        <v>30008</v>
      </c>
      <c r="D69" s="10" t="s">
        <v>207</v>
      </c>
      <c r="E69" s="10" t="s">
        <v>208</v>
      </c>
    </row>
    <row r="70" customFormat="false" ht="13.5" hidden="false" customHeight="true" outlineLevel="0" collapsed="false">
      <c r="A70" s="9" t="s">
        <v>209</v>
      </c>
      <c r="B70" s="10" t="s">
        <v>68</v>
      </c>
      <c r="C70" s="10" t="n">
        <v>30012</v>
      </c>
      <c r="D70" s="10" t="s">
        <v>210</v>
      </c>
      <c r="E70" s="10" t="s">
        <v>211</v>
      </c>
    </row>
    <row r="71" customFormat="false" ht="13.5" hidden="false" customHeight="true" outlineLevel="0" collapsed="false">
      <c r="A71" s="9" t="s">
        <v>212</v>
      </c>
      <c r="B71" s="10" t="s">
        <v>68</v>
      </c>
      <c r="C71" s="10" t="n">
        <v>30013</v>
      </c>
      <c r="D71" s="10" t="s">
        <v>213</v>
      </c>
      <c r="E71" s="10" t="s">
        <v>214</v>
      </c>
    </row>
    <row r="72" customFormat="false" ht="13.5" hidden="false" customHeight="true" outlineLevel="0" collapsed="false">
      <c r="A72" s="9" t="s">
        <v>215</v>
      </c>
      <c r="B72" s="10" t="s">
        <v>68</v>
      </c>
      <c r="C72" s="10" t="n">
        <v>30009</v>
      </c>
      <c r="D72" s="10" t="s">
        <v>216</v>
      </c>
      <c r="E72" s="10" t="s">
        <v>217</v>
      </c>
    </row>
    <row r="73" customFormat="false" ht="13.5" hidden="false" customHeight="true" outlineLevel="0" collapsed="false">
      <c r="A73" s="9" t="s">
        <v>218</v>
      </c>
      <c r="B73" s="10" t="s">
        <v>68</v>
      </c>
      <c r="C73" s="10" t="n">
        <v>30010</v>
      </c>
      <c r="D73" s="10" t="s">
        <v>219</v>
      </c>
      <c r="E73" s="10" t="s">
        <v>220</v>
      </c>
    </row>
    <row r="74" customFormat="false" ht="13.5" hidden="false" customHeight="true" outlineLevel="0" collapsed="false">
      <c r="A74" s="9" t="s">
        <v>221</v>
      </c>
      <c r="B74" s="10" t="s">
        <v>68</v>
      </c>
      <c r="C74" s="10" t="n">
        <v>30011</v>
      </c>
      <c r="D74" s="10" t="s">
        <v>222</v>
      </c>
      <c r="E74" s="10" t="s">
        <v>223</v>
      </c>
    </row>
    <row r="75" customFormat="false" ht="13.5" hidden="false" customHeight="true" outlineLevel="0" collapsed="false">
      <c r="A75" s="9" t="s">
        <v>224</v>
      </c>
      <c r="B75" s="10" t="s">
        <v>68</v>
      </c>
      <c r="C75" s="10" t="n">
        <v>30014</v>
      </c>
      <c r="D75" s="10" t="s">
        <v>225</v>
      </c>
      <c r="E75" s="10" t="s">
        <v>226</v>
      </c>
    </row>
    <row r="76" customFormat="false" ht="13.5" hidden="false" customHeight="true" outlineLevel="0" collapsed="false">
      <c r="A76" s="9" t="s">
        <v>227</v>
      </c>
      <c r="B76" s="10" t="s">
        <v>68</v>
      </c>
      <c r="C76" s="10" t="n">
        <v>0</v>
      </c>
      <c r="D76" s="10" t="s">
        <v>228</v>
      </c>
    </row>
    <row r="77" customFormat="false" ht="13.5" hidden="false" customHeight="true" outlineLevel="0" collapsed="false">
      <c r="A77" s="9" t="s">
        <v>229</v>
      </c>
      <c r="B77" s="10" t="s">
        <v>68</v>
      </c>
      <c r="C77" s="10" t="n">
        <v>1800</v>
      </c>
      <c r="D77" s="10" t="s">
        <v>230</v>
      </c>
      <c r="E77" s="10" t="n">
        <f aca="false">30*60</f>
        <v>1800</v>
      </c>
    </row>
    <row r="78" customFormat="false" ht="13.5" hidden="false" customHeight="true" outlineLevel="0" collapsed="false">
      <c r="A78" s="9" t="s">
        <v>231</v>
      </c>
      <c r="B78" s="10" t="s">
        <v>68</v>
      </c>
      <c r="C78" s="10" t="n">
        <v>27</v>
      </c>
      <c r="D78" s="10" t="s">
        <v>232</v>
      </c>
    </row>
    <row r="79" customFormat="false" ht="13.5" hidden="false" customHeight="true" outlineLevel="0" collapsed="false">
      <c r="A79" s="9" t="s">
        <v>233</v>
      </c>
      <c r="B79" s="10" t="s">
        <v>68</v>
      </c>
      <c r="C79" s="10" t="n">
        <v>86400</v>
      </c>
      <c r="D79" s="10" t="s">
        <v>234</v>
      </c>
      <c r="E79" s="10" t="n">
        <f aca="false">24*60*60</f>
        <v>86400</v>
      </c>
    </row>
    <row r="80" customFormat="false" ht="13.5" hidden="false" customHeight="true" outlineLevel="0" collapsed="false">
      <c r="A80" s="9" t="s">
        <v>235</v>
      </c>
      <c r="B80" s="10" t="s">
        <v>68</v>
      </c>
      <c r="C80" s="10" t="n">
        <v>9000</v>
      </c>
      <c r="D80" s="10" t="s">
        <v>236</v>
      </c>
    </row>
    <row r="81" customFormat="false" ht="13.5" hidden="false" customHeight="true" outlineLevel="0" collapsed="false">
      <c r="A81" s="9" t="s">
        <v>237</v>
      </c>
      <c r="B81" s="10" t="s">
        <v>68</v>
      </c>
      <c r="C81" s="10" t="n">
        <v>5</v>
      </c>
      <c r="D81" s="10" t="s">
        <v>238</v>
      </c>
    </row>
    <row r="82" customFormat="false" ht="13.5" hidden="false" customHeight="true" outlineLevel="0" collapsed="false">
      <c r="A82" s="9" t="s">
        <v>239</v>
      </c>
      <c r="B82" s="10" t="s">
        <v>68</v>
      </c>
      <c r="C82" s="10" t="n">
        <v>5</v>
      </c>
      <c r="D82" s="10" t="s">
        <v>240</v>
      </c>
    </row>
    <row r="83" customFormat="false" ht="13.5" hidden="false" customHeight="true" outlineLevel="0" collapsed="false">
      <c r="A83" s="9" t="s">
        <v>241</v>
      </c>
      <c r="B83" s="10" t="s">
        <v>95</v>
      </c>
      <c r="C83" s="10" t="n">
        <v>30</v>
      </c>
      <c r="D83" s="10" t="s">
        <v>242</v>
      </c>
    </row>
    <row r="84" customFormat="false" ht="13.5" hidden="false" customHeight="true" outlineLevel="0" collapsed="false">
      <c r="A84" s="9" t="s">
        <v>243</v>
      </c>
      <c r="B84" s="10" t="s">
        <v>95</v>
      </c>
      <c r="C84" s="10" t="n">
        <v>1</v>
      </c>
      <c r="D84" s="10" t="s">
        <v>244</v>
      </c>
    </row>
    <row r="85" customFormat="false" ht="13.5" hidden="false" customHeight="true" outlineLevel="0" collapsed="false">
      <c r="A85" s="9" t="s">
        <v>245</v>
      </c>
      <c r="B85" s="10" t="s">
        <v>95</v>
      </c>
      <c r="C85" s="10" t="n">
        <v>1.18</v>
      </c>
      <c r="D85" s="10" t="s">
        <v>246</v>
      </c>
    </row>
    <row r="86" customFormat="false" ht="13.5" hidden="false" customHeight="true" outlineLevel="0" collapsed="false">
      <c r="A86" s="9" t="s">
        <v>247</v>
      </c>
      <c r="B86" s="10" t="s">
        <v>95</v>
      </c>
      <c r="C86" s="10" t="n">
        <v>600</v>
      </c>
      <c r="D86" s="10" t="s">
        <v>248</v>
      </c>
    </row>
    <row r="87" customFormat="false" ht="13.5" hidden="false" customHeight="true" outlineLevel="0" collapsed="false">
      <c r="A87" s="9" t="s">
        <v>249</v>
      </c>
      <c r="B87" s="10" t="s">
        <v>250</v>
      </c>
      <c r="C87" s="10" t="n">
        <v>9000</v>
      </c>
      <c r="D87" s="10" t="s">
        <v>251</v>
      </c>
    </row>
    <row r="88" customFormat="false" ht="13.5" hidden="false" customHeight="true" outlineLevel="0" collapsed="false">
      <c r="A88" s="9" t="s">
        <v>252</v>
      </c>
      <c r="B88" s="10" t="s">
        <v>68</v>
      </c>
      <c r="C88" s="10" t="n">
        <v>0</v>
      </c>
      <c r="D88" s="10" t="s">
        <v>253</v>
      </c>
    </row>
    <row r="89" customFormat="false" ht="13.5" hidden="false" customHeight="true" outlineLevel="0" collapsed="false">
      <c r="A89" s="9" t="s">
        <v>254</v>
      </c>
      <c r="B89" s="10" t="s">
        <v>68</v>
      </c>
      <c r="C89" s="10" t="n">
        <v>2000000</v>
      </c>
      <c r="D89" s="10" t="s">
        <v>255</v>
      </c>
    </row>
    <row r="90" customFormat="false" ht="13.5" hidden="false" customHeight="true" outlineLevel="0" collapsed="false">
      <c r="A90" s="9" t="s">
        <v>256</v>
      </c>
      <c r="B90" s="10" t="s">
        <v>68</v>
      </c>
      <c r="C90" s="10" t="n">
        <v>1000000</v>
      </c>
      <c r="D90" s="10" t="s">
        <v>257</v>
      </c>
    </row>
    <row r="91" customFormat="false" ht="13.5" hidden="false" customHeight="true" outlineLevel="0" collapsed="false">
      <c r="A91" s="9" t="s">
        <v>258</v>
      </c>
      <c r="B91" s="10" t="s">
        <v>68</v>
      </c>
      <c r="C91" s="10" t="n">
        <v>100</v>
      </c>
      <c r="D91" s="10" t="s">
        <v>259</v>
      </c>
    </row>
    <row r="92" customFormat="false" ht="13.5" hidden="false" customHeight="true" outlineLevel="0" collapsed="false">
      <c r="A92" s="9" t="s">
        <v>260</v>
      </c>
      <c r="B92" s="10" t="s">
        <v>250</v>
      </c>
      <c r="C92" s="10" t="s">
        <v>261</v>
      </c>
      <c r="D92" s="10" t="s">
        <v>262</v>
      </c>
    </row>
    <row r="93" customFormat="false" ht="13.5" hidden="false" customHeight="true" outlineLevel="0" collapsed="false">
      <c r="A93" s="9" t="s">
        <v>263</v>
      </c>
      <c r="B93" s="10" t="s">
        <v>68</v>
      </c>
      <c r="C93" s="10" t="n">
        <v>12</v>
      </c>
      <c r="D93" s="10" t="s">
        <v>264</v>
      </c>
    </row>
    <row r="94" customFormat="false" ht="13.5" hidden="false" customHeight="true" outlineLevel="0" collapsed="false">
      <c r="A94" s="9" t="s">
        <v>265</v>
      </c>
      <c r="B94" s="10" t="s">
        <v>68</v>
      </c>
      <c r="C94" s="10" t="n">
        <v>0</v>
      </c>
      <c r="D94" s="10" t="s">
        <v>266</v>
      </c>
    </row>
    <row r="95" customFormat="false" ht="13.5" hidden="false" customHeight="true" outlineLevel="0" collapsed="false">
      <c r="A95" s="9" t="s">
        <v>267</v>
      </c>
      <c r="B95" s="10" t="s">
        <v>68</v>
      </c>
      <c r="C95" s="10" t="n">
        <v>22</v>
      </c>
      <c r="D95" s="10" t="s">
        <v>268</v>
      </c>
    </row>
    <row r="96" customFormat="false" ht="13.5" hidden="false" customHeight="true" outlineLevel="0" collapsed="false">
      <c r="A96" s="9" t="s">
        <v>269</v>
      </c>
      <c r="B96" s="10" t="s">
        <v>68</v>
      </c>
      <c r="C96" s="10" t="n">
        <v>0</v>
      </c>
      <c r="D96" s="10" t="s">
        <v>270</v>
      </c>
    </row>
    <row r="97" customFormat="false" ht="13.5" hidden="false" customHeight="true" outlineLevel="0" collapsed="false">
      <c r="A97" s="9" t="s">
        <v>271</v>
      </c>
      <c r="B97" s="10" t="s">
        <v>68</v>
      </c>
      <c r="C97" s="10" t="n">
        <v>12</v>
      </c>
      <c r="D97" s="10" t="s">
        <v>272</v>
      </c>
    </row>
    <row r="98" customFormat="false" ht="13.5" hidden="false" customHeight="true" outlineLevel="0" collapsed="false">
      <c r="A98" s="9" t="s">
        <v>273</v>
      </c>
      <c r="B98" s="10" t="s">
        <v>68</v>
      </c>
      <c r="C98" s="10" t="n">
        <v>15</v>
      </c>
      <c r="D98" s="10" t="s">
        <v>274</v>
      </c>
    </row>
    <row r="99" customFormat="false" ht="13.5" hidden="false" customHeight="true" outlineLevel="0" collapsed="false">
      <c r="A99" s="9" t="s">
        <v>275</v>
      </c>
      <c r="B99" s="10" t="s">
        <v>68</v>
      </c>
      <c r="C99" s="10" t="n">
        <v>22</v>
      </c>
      <c r="D99" s="10" t="s">
        <v>276</v>
      </c>
    </row>
    <row r="100" customFormat="false" ht="13.5" hidden="false" customHeight="true" outlineLevel="0" collapsed="false">
      <c r="A100" s="9" t="s">
        <v>277</v>
      </c>
      <c r="B100" s="10" t="s">
        <v>68</v>
      </c>
      <c r="C100" s="10" t="n">
        <v>0</v>
      </c>
      <c r="D100" s="10" t="s">
        <v>278</v>
      </c>
    </row>
    <row r="101" customFormat="false" ht="13.5" hidden="false" customHeight="true" outlineLevel="0" collapsed="false">
      <c r="A101" s="9" t="s">
        <v>279</v>
      </c>
      <c r="B101" s="10" t="s">
        <v>68</v>
      </c>
      <c r="C101" s="10" t="n">
        <v>50</v>
      </c>
      <c r="D101" s="10" t="s">
        <v>280</v>
      </c>
    </row>
    <row r="102" customFormat="false" ht="13.5" hidden="false" customHeight="true" outlineLevel="0" collapsed="false">
      <c r="A102" s="9" t="s">
        <v>281</v>
      </c>
      <c r="B102" s="10" t="s">
        <v>68</v>
      </c>
      <c r="C102" s="10" t="n">
        <v>1</v>
      </c>
      <c r="D102" s="10" t="s">
        <v>282</v>
      </c>
    </row>
    <row r="103" customFormat="false" ht="13.5" hidden="false" customHeight="true" outlineLevel="0" collapsed="false">
      <c r="A103" s="9" t="s">
        <v>283</v>
      </c>
      <c r="B103" s="10" t="s">
        <v>68</v>
      </c>
      <c r="C103" s="10" t="n">
        <v>1</v>
      </c>
      <c r="D103" s="10" t="s">
        <v>284</v>
      </c>
    </row>
    <row r="104" customFormat="false" ht="13.5" hidden="false" customHeight="true" outlineLevel="0" collapsed="false">
      <c r="A104" s="9" t="s">
        <v>285</v>
      </c>
      <c r="B104" s="10" t="s">
        <v>68</v>
      </c>
      <c r="C104" s="10" t="n">
        <v>9100</v>
      </c>
      <c r="D104" s="10" t="s">
        <v>286</v>
      </c>
    </row>
    <row r="105" customFormat="false" ht="13.5" hidden="false" customHeight="true" outlineLevel="0" collapsed="false">
      <c r="A105" s="9" t="s">
        <v>287</v>
      </c>
      <c r="B105" s="10" t="s">
        <v>68</v>
      </c>
      <c r="C105" s="10" t="n">
        <v>1</v>
      </c>
      <c r="D105" s="10" t="s">
        <v>288</v>
      </c>
    </row>
    <row r="106" customFormat="false" ht="13.5" hidden="false" customHeight="true" outlineLevel="0" collapsed="false">
      <c r="A106" s="9" t="s">
        <v>289</v>
      </c>
      <c r="B106" s="10" t="s">
        <v>68</v>
      </c>
      <c r="C106" s="10" t="n">
        <v>1800</v>
      </c>
      <c r="D106" s="10" t="s">
        <v>290</v>
      </c>
    </row>
    <row r="107" customFormat="false" ht="13.5" hidden="false" customHeight="true" outlineLevel="0" collapsed="false">
      <c r="A107" s="9" t="s">
        <v>291</v>
      </c>
      <c r="B107" s="10" t="s">
        <v>68</v>
      </c>
      <c r="C107" s="10" t="n">
        <v>30015</v>
      </c>
      <c r="D107" s="10" t="s">
        <v>292</v>
      </c>
    </row>
    <row r="108" customFormat="false" ht="13.5" hidden="false" customHeight="true" outlineLevel="0" collapsed="false">
      <c r="A108" s="9" t="s">
        <v>293</v>
      </c>
      <c r="B108" s="10" t="s">
        <v>68</v>
      </c>
      <c r="C108" s="10" t="n">
        <v>30</v>
      </c>
      <c r="D108" s="10" t="s">
        <v>294</v>
      </c>
    </row>
    <row r="109" customFormat="false" ht="13.5" hidden="false" customHeight="true" outlineLevel="0" collapsed="false">
      <c r="A109" s="9" t="s">
        <v>295</v>
      </c>
      <c r="B109" s="10" t="s">
        <v>68</v>
      </c>
      <c r="C109" s="10" t="n">
        <v>10</v>
      </c>
      <c r="D109" s="10" t="s">
        <v>296</v>
      </c>
    </row>
    <row r="110" customFormat="false" ht="13.5" hidden="false" customHeight="true" outlineLevel="0" collapsed="false">
      <c r="A110" s="9" t="s">
        <v>297</v>
      </c>
      <c r="B110" s="10" t="s">
        <v>68</v>
      </c>
      <c r="C110" s="10" t="n">
        <v>86400</v>
      </c>
      <c r="D110" s="10" t="s">
        <v>298</v>
      </c>
    </row>
    <row r="111" customFormat="false" ht="13.5" hidden="false" customHeight="true" outlineLevel="0" collapsed="false">
      <c r="A111" s="9" t="s">
        <v>299</v>
      </c>
      <c r="B111" s="10" t="s">
        <v>68</v>
      </c>
      <c r="C111" s="10" t="n">
        <v>24002</v>
      </c>
      <c r="D111" s="10" t="s">
        <v>300</v>
      </c>
    </row>
    <row r="112" customFormat="false" ht="13.5" hidden="false" customHeight="true" outlineLevel="0" collapsed="false">
      <c r="A112" s="9" t="s">
        <v>301</v>
      </c>
      <c r="B112" s="10" t="s">
        <v>68</v>
      </c>
      <c r="C112" s="10" t="n">
        <v>1680</v>
      </c>
      <c r="D112" s="10" t="s">
        <v>302</v>
      </c>
    </row>
    <row r="113" customFormat="false" ht="13.5" hidden="false" customHeight="true" outlineLevel="0" collapsed="false">
      <c r="A113" s="9" t="s">
        <v>303</v>
      </c>
      <c r="B113" s="10" t="s">
        <v>68</v>
      </c>
      <c r="C113" s="10" t="n">
        <v>30</v>
      </c>
      <c r="D113" s="10" t="s">
        <v>304</v>
      </c>
    </row>
    <row r="114" customFormat="false" ht="13.5" hidden="false" customHeight="true" outlineLevel="0" collapsed="false">
      <c r="A114" s="9" t="s">
        <v>305</v>
      </c>
      <c r="B114" s="10" t="s">
        <v>68</v>
      </c>
      <c r="C114" s="10" t="n">
        <v>120000</v>
      </c>
      <c r="D114" s="10" t="s">
        <v>306</v>
      </c>
    </row>
    <row r="115" customFormat="false" ht="13.5" hidden="false" customHeight="true" outlineLevel="0" collapsed="false">
      <c r="A115" s="9" t="s">
        <v>307</v>
      </c>
      <c r="B115" s="10" t="s">
        <v>68</v>
      </c>
      <c r="C115" s="10" t="n">
        <v>2</v>
      </c>
      <c r="D115" s="10" t="s">
        <v>308</v>
      </c>
    </row>
    <row r="116" customFormat="false" ht="13.5" hidden="false" customHeight="true" outlineLevel="0" collapsed="false">
      <c r="A116" s="9" t="s">
        <v>309</v>
      </c>
      <c r="B116" s="10" t="s">
        <v>68</v>
      </c>
      <c r="C116" s="10" t="n">
        <v>100000</v>
      </c>
      <c r="D116" s="10" t="s">
        <v>310</v>
      </c>
    </row>
  </sheetData>
  <conditionalFormatting sqref="A1:B4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3" min="3" style="1" width="13.09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312</v>
      </c>
    </row>
    <row r="2" customFormat="false" ht="16.5" hidden="false" customHeight="true" outlineLevel="0" collapsed="false">
      <c r="A2" s="13" t="s">
        <v>313</v>
      </c>
      <c r="B2" s="13"/>
      <c r="C2" s="13" t="s">
        <v>314</v>
      </c>
    </row>
    <row r="3" customFormat="false" ht="16.5" hidden="false" customHeight="true" outlineLevel="0" collapsed="false">
      <c r="A3" s="12" t="s">
        <v>315</v>
      </c>
      <c r="B3" s="12"/>
      <c r="C3" s="12" t="s">
        <v>315</v>
      </c>
    </row>
    <row r="4" customFormat="false" ht="16.5" hidden="false" customHeight="true" outlineLevel="0" collapsed="false">
      <c r="A4" s="12"/>
      <c r="B4" s="12"/>
      <c r="C4" s="12"/>
    </row>
    <row r="5" customFormat="false" ht="16.5" hidden="false" customHeight="true" outlineLevel="0" collapsed="false">
      <c r="A5" s="14" t="n">
        <v>1</v>
      </c>
      <c r="B5" s="14" t="s">
        <v>316</v>
      </c>
      <c r="C5" s="14" t="s">
        <v>316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4" t="s">
        <v>317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4" t="s">
        <v>318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4" t="s">
        <v>319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4" t="s">
        <v>320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4" t="s">
        <v>321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4" t="s">
        <v>322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4" t="s">
        <v>323</v>
      </c>
    </row>
    <row r="13" customFormat="false" ht="16.5" hidden="false" customHeight="true" outlineLevel="0" collapsed="false">
      <c r="A13" s="14" t="n">
        <v>9</v>
      </c>
      <c r="B13" s="14" t="s">
        <v>324</v>
      </c>
      <c r="C13" s="14" t="s">
        <v>324</v>
      </c>
    </row>
    <row r="14" customFormat="false" ht="16.5" hidden="false" customHeight="true" outlineLevel="0" collapsed="false">
      <c r="A14" s="14" t="n">
        <v>10</v>
      </c>
      <c r="B14" s="14" t="s">
        <v>325</v>
      </c>
      <c r="C14" s="14" t="s">
        <v>325</v>
      </c>
    </row>
    <row r="15" customFormat="false" ht="16.5" hidden="false" customHeight="true" outlineLevel="0" collapsed="false">
      <c r="A15" s="14" t="n">
        <v>11</v>
      </c>
      <c r="B15" s="14" t="s">
        <v>326</v>
      </c>
      <c r="C15" s="14" t="s">
        <v>326</v>
      </c>
    </row>
    <row r="16" customFormat="false" ht="16.5" hidden="false" customHeight="true" outlineLevel="0" collapsed="false">
      <c r="A16" s="14" t="n">
        <v>12</v>
      </c>
      <c r="B16" s="14" t="s">
        <v>327</v>
      </c>
      <c r="C16" s="14" t="s">
        <v>327</v>
      </c>
    </row>
    <row r="17" customFormat="false" ht="16.5" hidden="false" customHeight="true" outlineLevel="0" collapsed="false">
      <c r="A17" s="14" t="n">
        <v>13</v>
      </c>
      <c r="B17" s="14" t="s">
        <v>328</v>
      </c>
      <c r="C17" s="14" t="s">
        <v>328</v>
      </c>
    </row>
    <row r="18" customFormat="false" ht="16.5" hidden="false" customHeight="true" outlineLevel="0" collapsed="false">
      <c r="A18" s="14" t="n">
        <v>14</v>
      </c>
      <c r="B18" s="14" t="s">
        <v>329</v>
      </c>
      <c r="C18" s="14" t="s">
        <v>329</v>
      </c>
    </row>
    <row r="19" customFormat="false" ht="16.5" hidden="false" customHeight="true" outlineLevel="0" collapsed="false">
      <c r="A19" s="14" t="n">
        <v>15</v>
      </c>
      <c r="B19" s="14" t="s">
        <v>330</v>
      </c>
      <c r="C19" s="14" t="s">
        <v>330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8"/>
    <col collapsed="false" customWidth="true" hidden="false" outlineLevel="0" max="3" min="3" style="1" width="26.84"/>
    <col collapsed="false" customWidth="true" hidden="false" outlineLevel="0" max="4" min="4" style="1" width="14.33"/>
    <col collapsed="false" customWidth="true" hidden="false" outlineLevel="0" max="5" min="5" style="1" width="22.25"/>
    <col collapsed="false" customWidth="true" hidden="false" outlineLevel="0" max="6" min="6" style="1" width="19.33"/>
    <col collapsed="false" customWidth="true" hidden="false" outlineLevel="0" max="7" min="7" style="1" width="21"/>
    <col collapsed="false" customWidth="true" hidden="false" outlineLevel="0" max="8" min="8" style="1" width="21.34"/>
    <col collapsed="false" customWidth="true" hidden="false" outlineLevel="0" max="9" min="9" style="1" width="17.34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331</v>
      </c>
      <c r="D1" s="12" t="s">
        <v>332</v>
      </c>
      <c r="E1" s="12" t="s">
        <v>324</v>
      </c>
      <c r="F1" s="12" t="s">
        <v>325</v>
      </c>
      <c r="G1" s="12" t="s">
        <v>326</v>
      </c>
      <c r="H1" s="12" t="s">
        <v>327</v>
      </c>
      <c r="I1" s="12" t="s">
        <v>333</v>
      </c>
    </row>
    <row r="2" customFormat="false" ht="16.5" hidden="false" customHeight="true" outlineLevel="0" collapsed="false">
      <c r="A2" s="13" t="s">
        <v>313</v>
      </c>
      <c r="B2" s="13"/>
      <c r="C2" s="13" t="s">
        <v>334</v>
      </c>
      <c r="D2" s="12" t="s">
        <v>335</v>
      </c>
      <c r="E2" s="12" t="s">
        <v>336</v>
      </c>
      <c r="F2" s="12" t="s">
        <v>337</v>
      </c>
      <c r="G2" s="12" t="s">
        <v>338</v>
      </c>
      <c r="H2" s="12" t="s">
        <v>339</v>
      </c>
      <c r="I2" s="12" t="s">
        <v>340</v>
      </c>
    </row>
    <row r="3" customFormat="false" ht="16.5" hidden="false" customHeight="true" outlineLevel="0" collapsed="false">
      <c r="A3" s="12" t="s">
        <v>315</v>
      </c>
      <c r="B3" s="12"/>
      <c r="C3" s="12" t="s">
        <v>315</v>
      </c>
      <c r="D3" s="12"/>
      <c r="E3" s="12"/>
      <c r="F3" s="12"/>
      <c r="G3" s="12"/>
      <c r="H3" s="12"/>
      <c r="I3" s="12"/>
    </row>
    <row r="4" customFormat="false" ht="16.5" hidden="false" customHeight="true" outlineLevel="0" collapsed="false">
      <c r="A4" s="12"/>
      <c r="B4" s="12"/>
      <c r="C4" s="12"/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</row>
    <row r="5" customFormat="false" ht="16.5" hidden="false" customHeight="true" outlineLevel="0" collapsed="false">
      <c r="A5" s="1" t="n">
        <v>1</v>
      </c>
      <c r="B5" s="14" t="s">
        <v>316</v>
      </c>
      <c r="C5" s="14" t="s">
        <v>341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</row>
    <row r="6" customFormat="false" ht="16.5" hidden="false" customHeight="true" outlineLevel="0" collapsed="false">
      <c r="A6" s="1" t="n">
        <v>2</v>
      </c>
      <c r="B6" s="14" t="s">
        <v>317</v>
      </c>
      <c r="C6" s="14" t="s">
        <v>342</v>
      </c>
      <c r="D6" s="1" t="b">
        <f aca="false">TRUE()</f>
        <v>1</v>
      </c>
      <c r="E6" s="1" t="b">
        <f aca="false">TRUE()</f>
        <v>1</v>
      </c>
      <c r="F6" s="1" t="b">
        <f aca="false">TRUE()</f>
        <v>1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</row>
    <row r="7" customFormat="false" ht="16.5" hidden="false" customHeight="true" outlineLevel="0" collapsed="false">
      <c r="A7" s="1" t="n">
        <v>3</v>
      </c>
      <c r="B7" s="14" t="s">
        <v>318</v>
      </c>
      <c r="C7" s="14" t="s">
        <v>343</v>
      </c>
      <c r="D7" s="1" t="b">
        <f aca="false">TRUE()</f>
        <v>1</v>
      </c>
      <c r="E7" s="1" t="b">
        <f aca="false">TRUE()</f>
        <v>1</v>
      </c>
      <c r="F7" s="1" t="b">
        <f aca="false">TRUE()</f>
        <v>1</v>
      </c>
      <c r="G7" s="1" t="b">
        <f aca="false">TRUE()</f>
        <v>1</v>
      </c>
      <c r="H7" s="1" t="b">
        <f aca="false">TRUE()</f>
        <v>1</v>
      </c>
      <c r="I7" s="1" t="b">
        <f aca="false">TRUE()</f>
        <v>1</v>
      </c>
    </row>
    <row r="8" customFormat="false" ht="16.5" hidden="false" customHeight="true" outlineLevel="0" collapsed="false">
      <c r="A8" s="1" t="n">
        <v>4</v>
      </c>
      <c r="B8" s="14" t="s">
        <v>319</v>
      </c>
      <c r="C8" s="14" t="s">
        <v>344</v>
      </c>
      <c r="D8" s="1" t="b">
        <f aca="false">TRUE()</f>
        <v>1</v>
      </c>
      <c r="E8" s="1" t="b">
        <f aca="false">TRUE()</f>
        <v>1</v>
      </c>
      <c r="F8" s="1" t="b">
        <f aca="false">TRUE()</f>
        <v>1</v>
      </c>
      <c r="G8" s="1" t="b">
        <f aca="false">TRUE()</f>
        <v>1</v>
      </c>
      <c r="H8" s="1" t="b">
        <f aca="false">TRUE()</f>
        <v>1</v>
      </c>
      <c r="I8" s="1" t="b">
        <f aca="false">TRUE()</f>
        <v>1</v>
      </c>
    </row>
    <row r="9" customFormat="false" ht="16.5" hidden="false" customHeight="true" outlineLevel="0" collapsed="false">
      <c r="A9" s="1" t="n">
        <v>5</v>
      </c>
      <c r="B9" s="14" t="s">
        <v>320</v>
      </c>
      <c r="C9" s="14" t="s">
        <v>345</v>
      </c>
      <c r="E9" s="1" t="b">
        <f aca="false">TRUE()</f>
        <v>1</v>
      </c>
    </row>
    <row r="10" customFormat="false" ht="16.5" hidden="false" customHeight="true" outlineLevel="0" collapsed="false">
      <c r="A10" s="1" t="n">
        <v>6</v>
      </c>
      <c r="B10" s="14" t="s">
        <v>321</v>
      </c>
      <c r="C10" s="14" t="s">
        <v>346</v>
      </c>
      <c r="F10" s="1" t="b">
        <f aca="false">TRUE()</f>
        <v>1</v>
      </c>
    </row>
    <row r="11" customFormat="false" ht="16.5" hidden="false" customHeight="true" outlineLevel="0" collapsed="false">
      <c r="A11" s="1" t="n">
        <v>7</v>
      </c>
      <c r="B11" s="14" t="s">
        <v>322</v>
      </c>
      <c r="C11" s="14" t="s">
        <v>347</v>
      </c>
      <c r="G11" s="1" t="b">
        <f aca="false">TRUE()</f>
        <v>1</v>
      </c>
    </row>
    <row r="12" customFormat="false" ht="16.5" hidden="false" customHeight="true" outlineLevel="0" collapsed="false">
      <c r="A12" s="1" t="n">
        <v>8</v>
      </c>
      <c r="B12" s="14" t="s">
        <v>323</v>
      </c>
      <c r="C12" s="14" t="s">
        <v>348</v>
      </c>
      <c r="H12" s="1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S9" activeCellId="0" sqref="S9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4.09"/>
    <col collapsed="false" customWidth="true" hidden="false" outlineLevel="0" max="3" min="3" style="1" width="12.5"/>
    <col collapsed="false" customWidth="true" hidden="false" outlineLevel="0" max="5" min="4" style="1" width="17.09"/>
    <col collapsed="false" customWidth="true" hidden="false" outlineLevel="0" max="6" min="6" style="1" width="16.75"/>
    <col collapsed="false" customWidth="true" hidden="false" outlineLevel="0" max="7" min="7" style="1" width="17.09"/>
    <col collapsed="false" customWidth="true" hidden="false" outlineLevel="0" max="8" min="8" style="1" width="18.75"/>
    <col collapsed="false" customWidth="true" hidden="false" outlineLevel="0" max="9" min="9" style="1" width="16.75"/>
    <col collapsed="false" customWidth="true" hidden="false" outlineLevel="0" max="10" min="10" style="1" width="9.84"/>
    <col collapsed="false" customWidth="true" hidden="false" outlineLevel="0" max="11" min="11" style="1" width="12.09"/>
    <col collapsed="false" customWidth="true" hidden="false" outlineLevel="0" max="12" min="12" style="1" width="16"/>
    <col collapsed="false" customWidth="true" hidden="false" outlineLevel="0" max="13" min="13" style="1" width="17.5"/>
    <col collapsed="false" customWidth="true" hidden="false" outlineLevel="0" max="14" min="14" style="1" width="13.09"/>
    <col collapsed="false" customWidth="true" hidden="false" outlineLevel="0" max="15" min="15" style="1" width="22.34"/>
    <col collapsed="false" customWidth="true" hidden="false" outlineLevel="0" max="16" min="16" style="1" width="24.84"/>
    <col collapsed="false" customWidth="true" hidden="false" outlineLevel="0" max="17" min="17" style="1" width="22.84"/>
    <col collapsed="false" customWidth="true" hidden="false" outlineLevel="0" max="18" min="18" style="1" width="24.25"/>
    <col collapsed="false" customWidth="true" hidden="false" outlineLevel="0" max="19" min="19" style="1" width="16.08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349</v>
      </c>
      <c r="D1" s="12" t="s">
        <v>350</v>
      </c>
      <c r="E1" s="12" t="s">
        <v>351</v>
      </c>
      <c r="F1" s="12" t="s">
        <v>352</v>
      </c>
      <c r="G1" s="12" t="s">
        <v>50</v>
      </c>
      <c r="H1" s="12" t="s">
        <v>353</v>
      </c>
      <c r="I1" s="12" t="s">
        <v>354</v>
      </c>
      <c r="J1" s="12" t="s">
        <v>355</v>
      </c>
      <c r="K1" s="12" t="s">
        <v>356</v>
      </c>
      <c r="L1" s="12" t="s">
        <v>357</v>
      </c>
      <c r="M1" s="12" t="s">
        <v>358</v>
      </c>
      <c r="N1" s="12" t="s">
        <v>359</v>
      </c>
      <c r="O1" s="12" t="s">
        <v>360</v>
      </c>
      <c r="P1" s="12" t="s">
        <v>361</v>
      </c>
      <c r="Q1" s="12" t="s">
        <v>362</v>
      </c>
      <c r="R1" s="12" t="s">
        <v>363</v>
      </c>
      <c r="S1" s="12" t="s">
        <v>364</v>
      </c>
      <c r="T1" s="14"/>
      <c r="U1" s="14"/>
    </row>
    <row r="2" customFormat="false" ht="16.5" hidden="false" customHeight="true" outlineLevel="0" collapsed="false">
      <c r="A2" s="13" t="s">
        <v>313</v>
      </c>
      <c r="B2" s="13"/>
      <c r="C2" s="13" t="s">
        <v>365</v>
      </c>
      <c r="D2" s="13" t="s">
        <v>366</v>
      </c>
      <c r="E2" s="13" t="s">
        <v>367</v>
      </c>
      <c r="F2" s="13" t="s">
        <v>368</v>
      </c>
      <c r="G2" s="13" t="s">
        <v>369</v>
      </c>
      <c r="H2" s="13" t="s">
        <v>370</v>
      </c>
      <c r="I2" s="13" t="s">
        <v>371</v>
      </c>
      <c r="J2" s="13" t="s">
        <v>372</v>
      </c>
      <c r="K2" s="13" t="s">
        <v>373</v>
      </c>
      <c r="L2" s="13" t="s">
        <v>374</v>
      </c>
      <c r="M2" s="13" t="s">
        <v>375</v>
      </c>
      <c r="N2" s="13" t="s">
        <v>376</v>
      </c>
      <c r="O2" s="12" t="s">
        <v>377</v>
      </c>
      <c r="P2" s="12" t="s">
        <v>378</v>
      </c>
      <c r="Q2" s="12" t="s">
        <v>379</v>
      </c>
      <c r="R2" s="12" t="s">
        <v>380</v>
      </c>
      <c r="S2" s="12" t="s">
        <v>381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customFormat="false" ht="16.5" hidden="false" customHeight="true" outlineLevel="0" collapsed="false">
      <c r="A4" s="12"/>
      <c r="B4" s="12"/>
      <c r="C4" s="12" t="b">
        <f aca="false">FALSE()</f>
        <v>0</v>
      </c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  <c r="J4" s="12" t="b">
        <f aca="false">FALSE()</f>
        <v>0</v>
      </c>
      <c r="K4" s="12" t="n">
        <v>0</v>
      </c>
      <c r="L4" s="12" t="b">
        <f aca="false">FALSE()</f>
        <v>0</v>
      </c>
      <c r="M4" s="12" t="b">
        <f aca="false">FALSE()</f>
        <v>0</v>
      </c>
      <c r="N4" s="12" t="b">
        <f aca="false">FALSE()</f>
        <v>0</v>
      </c>
      <c r="O4" s="12" t="b">
        <f aca="false">FALSE()</f>
        <v>0</v>
      </c>
      <c r="P4" s="12" t="b">
        <f aca="false">FALSE()</f>
        <v>0</v>
      </c>
      <c r="Q4" s="12" t="b">
        <f aca="false">FALSE()</f>
        <v>0</v>
      </c>
      <c r="R4" s="12" t="b">
        <f aca="false">FALSE()</f>
        <v>0</v>
      </c>
      <c r="S4" s="12" t="b">
        <f aca="false">FALSE()</f>
        <v>0</v>
      </c>
    </row>
    <row r="5" customFormat="false" ht="16.5" hidden="false" customHeight="true" outlineLevel="0" collapsed="false">
      <c r="A5" s="14" t="n">
        <v>1</v>
      </c>
      <c r="B5" s="14" t="s">
        <v>316</v>
      </c>
      <c r="C5" s="1" t="b">
        <f aca="false">TRUE()</f>
        <v>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  <c r="K5" s="1" t="n">
        <v>20</v>
      </c>
      <c r="L5" s="1" t="b">
        <f aca="false">TRUE()</f>
        <v>1</v>
      </c>
      <c r="M5" s="1" t="b">
        <f aca="false">TRUE()</f>
        <v>1</v>
      </c>
      <c r="N5" s="1" t="b">
        <f aca="false">TRUE()</f>
        <v>1</v>
      </c>
      <c r="O5" s="1" t="b">
        <f aca="false">TRUE()</f>
        <v>1</v>
      </c>
      <c r="P5" s="1" t="b">
        <f aca="false">TRUE()</f>
        <v>1</v>
      </c>
      <c r="Q5" s="1" t="b">
        <f aca="false">TRUE()</f>
        <v>1</v>
      </c>
      <c r="R5" s="1" t="b">
        <f aca="false">TRUE()</f>
        <v>1</v>
      </c>
      <c r="S5" s="1" t="b">
        <f aca="false">TRUE()</f>
        <v>1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" t="b">
        <f aca="false">TRUE()</f>
        <v>1</v>
      </c>
      <c r="D6" s="1" t="b">
        <f aca="false">TRUE()</f>
        <v>1</v>
      </c>
      <c r="E6" s="1" t="b">
        <f aca="false">TRUE()</f>
        <v>1</v>
      </c>
      <c r="F6" s="1" t="b">
        <f aca="false">TRUE()</f>
        <v>1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  <c r="J6" s="1" t="b">
        <f aca="false">TRUE()</f>
        <v>1</v>
      </c>
      <c r="K6" s="1" t="n">
        <v>10</v>
      </c>
      <c r="L6" s="1" t="b">
        <f aca="false">TRUE()</f>
        <v>1</v>
      </c>
      <c r="M6" s="1" t="b">
        <f aca="false">TRUE()</f>
        <v>1</v>
      </c>
      <c r="N6" s="1" t="b">
        <f aca="false">TRUE()</f>
        <v>1</v>
      </c>
      <c r="O6" s="1" t="b">
        <f aca="false">TRUE()</f>
        <v>1</v>
      </c>
      <c r="P6" s="1" t="b">
        <f aca="false">TRUE()</f>
        <v>1</v>
      </c>
      <c r="Q6" s="1" t="b">
        <f aca="false">TRUE()</f>
        <v>1</v>
      </c>
      <c r="R6" s="1" t="b">
        <f aca="false">TRUE()</f>
        <v>1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" t="b">
        <f aca="false">TRUE()</f>
        <v>1</v>
      </c>
      <c r="D7" s="1" t="b">
        <f aca="false">TRUE()</f>
        <v>1</v>
      </c>
      <c r="E7" s="1" t="b">
        <f aca="false">TRUE()</f>
        <v>1</v>
      </c>
      <c r="F7" s="1" t="b">
        <f aca="false">TRUE()</f>
        <v>1</v>
      </c>
      <c r="G7" s="1" t="b">
        <f aca="false">TRUE()</f>
        <v>1</v>
      </c>
      <c r="H7" s="1" t="b">
        <f aca="false">TRUE()</f>
        <v>1</v>
      </c>
      <c r="I7" s="1" t="b">
        <f aca="false">TRUE()</f>
        <v>1</v>
      </c>
      <c r="J7" s="1" t="b">
        <f aca="false">TRUE()</f>
        <v>1</v>
      </c>
      <c r="K7" s="1" t="n">
        <v>10</v>
      </c>
      <c r="M7" s="1" t="b">
        <f aca="false">TRUE()</f>
        <v>1</v>
      </c>
      <c r="N7" s="1" t="b">
        <f aca="false">TRUE()</f>
        <v>1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" t="b">
        <f aca="false">TRUE()</f>
        <v>1</v>
      </c>
      <c r="D8" s="1" t="b">
        <f aca="false">TRUE()</f>
        <v>1</v>
      </c>
      <c r="E8" s="1" t="b">
        <f aca="false">TRUE()</f>
        <v>1</v>
      </c>
      <c r="F8" s="1" t="b">
        <f aca="false">TRUE()</f>
        <v>1</v>
      </c>
      <c r="G8" s="1" t="b">
        <f aca="false">TRUE()</f>
        <v>1</v>
      </c>
      <c r="H8" s="1" t="b">
        <f aca="false">TRUE()</f>
        <v>1</v>
      </c>
      <c r="I8" s="1" t="b">
        <f aca="false">TRUE()</f>
        <v>1</v>
      </c>
      <c r="J8" s="1" t="b">
        <f aca="false">TRUE()</f>
        <v>1</v>
      </c>
      <c r="K8" s="1" t="n">
        <v>10</v>
      </c>
      <c r="M8" s="1" t="b">
        <f aca="false">TRUE()</f>
        <v>1</v>
      </c>
      <c r="N8" s="1" t="b">
        <f aca="false">TRUE()</f>
        <v>1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" t="b">
        <f aca="false">TRUE()</f>
        <v>1</v>
      </c>
      <c r="D9" s="1" t="b">
        <f aca="false">TRUE()</f>
        <v>1</v>
      </c>
      <c r="E9" s="1" t="b">
        <f aca="false">TRUE()</f>
        <v>1</v>
      </c>
      <c r="G9" s="1" t="b">
        <f aca="false">TRUE()</f>
        <v>1</v>
      </c>
      <c r="H9" s="1" t="b">
        <f aca="false">TRUE()</f>
        <v>1</v>
      </c>
      <c r="J9" s="1" t="b">
        <f aca="false">TRUE()</f>
        <v>1</v>
      </c>
      <c r="K9" s="1" t="n">
        <v>5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" t="b">
        <f aca="false">TRUE()</f>
        <v>1</v>
      </c>
      <c r="D10" s="1" t="b">
        <f aca="false">TRUE()</f>
        <v>1</v>
      </c>
      <c r="E10" s="1" t="b">
        <f aca="false">TRUE()</f>
        <v>1</v>
      </c>
      <c r="G10" s="1" t="b">
        <f aca="false">TRUE()</f>
        <v>1</v>
      </c>
      <c r="H10" s="1" t="b">
        <f aca="false">TRUE()</f>
        <v>1</v>
      </c>
      <c r="J10" s="1" t="b">
        <f aca="false">TRUE()</f>
        <v>1</v>
      </c>
      <c r="K10" s="1" t="n">
        <v>5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" t="b">
        <f aca="false">TRUE()</f>
        <v>1</v>
      </c>
      <c r="D11" s="1" t="b">
        <f aca="false">TRUE()</f>
        <v>1</v>
      </c>
      <c r="E11" s="1" t="b">
        <f aca="false">TRUE()</f>
        <v>1</v>
      </c>
      <c r="G11" s="1" t="b">
        <f aca="false">TRUE()</f>
        <v>1</v>
      </c>
      <c r="H11" s="1" t="b">
        <f aca="false">TRUE()</f>
        <v>1</v>
      </c>
      <c r="J11" s="1" t="b">
        <f aca="false">TRUE()</f>
        <v>1</v>
      </c>
      <c r="K11" s="1" t="n">
        <v>5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" t="b">
        <f aca="false">TRUE()</f>
        <v>1</v>
      </c>
      <c r="D12" s="1" t="b">
        <f aca="false">TRUE()</f>
        <v>1</v>
      </c>
      <c r="E12" s="1" t="b">
        <f aca="false">TRUE()</f>
        <v>1</v>
      </c>
      <c r="G12" s="1" t="b">
        <f aca="false">TRUE()</f>
        <v>1</v>
      </c>
      <c r="H12" s="1" t="b">
        <f aca="false">TRUE()</f>
        <v>1</v>
      </c>
      <c r="J12" s="1" t="b">
        <f aca="false">TRUE()</f>
        <v>1</v>
      </c>
      <c r="K12" s="1" t="n">
        <v>5</v>
      </c>
    </row>
    <row r="13" customFormat="false" ht="16.5" hidden="false" customHeight="true" outlineLevel="0" collapsed="false">
      <c r="A13" s="14" t="n">
        <v>9</v>
      </c>
      <c r="B13" s="14" t="s">
        <v>324</v>
      </c>
    </row>
    <row r="14" customFormat="false" ht="16.5" hidden="false" customHeight="true" outlineLevel="0" collapsed="false">
      <c r="A14" s="14" t="n">
        <v>10</v>
      </c>
      <c r="B14" s="14" t="s">
        <v>325</v>
      </c>
    </row>
    <row r="15" customFormat="false" ht="16.5" hidden="false" customHeight="true" outlineLevel="0" collapsed="false">
      <c r="A15" s="14" t="n">
        <v>11</v>
      </c>
      <c r="B15" s="14" t="s">
        <v>326</v>
      </c>
    </row>
    <row r="16" customFormat="false" ht="16.5" hidden="false" customHeight="true" outlineLevel="0" collapsed="false">
      <c r="A16" s="14" t="n">
        <v>12</v>
      </c>
      <c r="B16" s="14" t="s">
        <v>327</v>
      </c>
    </row>
    <row r="17" customFormat="false" ht="16.5" hidden="false" customHeight="true" outlineLevel="0" collapsed="false">
      <c r="A17" s="14" t="n">
        <v>13</v>
      </c>
      <c r="B17" s="14" t="s">
        <v>328</v>
      </c>
    </row>
    <row r="18" customFormat="false" ht="16.5" hidden="false" customHeight="true" outlineLevel="0" collapsed="false">
      <c r="A18" s="14" t="n">
        <v>14</v>
      </c>
      <c r="B18" s="14" t="s">
        <v>329</v>
      </c>
    </row>
    <row r="19" customFormat="false" ht="16.5" hidden="false" customHeight="true" outlineLevel="0" collapsed="false">
      <c r="A19" s="14" t="n">
        <v>15</v>
      </c>
      <c r="B19" s="14" t="s">
        <v>330</v>
      </c>
    </row>
  </sheetData>
  <conditionalFormatting sqref="B1:C3 E1:E3 G1:G3 I1:I3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3" min="3" style="1" width="10.5"/>
    <col collapsed="false" customWidth="true" hidden="false" outlineLevel="0" max="4" min="4" style="1" width="14.75"/>
    <col collapsed="false" customWidth="true" hidden="false" outlineLevel="0" max="5" min="5" style="1" width="12.25"/>
    <col collapsed="false" customWidth="true" hidden="false" outlineLevel="0" max="6" min="6" style="1" width="13.5"/>
    <col collapsed="false" customWidth="true" hidden="false" outlineLevel="0" max="7" min="7" style="1" width="20"/>
    <col collapsed="false" customWidth="true" hidden="false" outlineLevel="0" max="8" min="8" style="1" width="17.25"/>
    <col collapsed="false" customWidth="true" hidden="false" outlineLevel="0" max="9" min="9" style="1" width="18.75"/>
    <col collapsed="false" customWidth="true" hidden="false" outlineLevel="0" max="10" min="10" style="1" width="19.08"/>
    <col collapsed="false" customWidth="true" hidden="false" outlineLevel="0" max="11" min="11" style="1" width="23.84"/>
    <col collapsed="false" customWidth="true" hidden="false" outlineLevel="0" max="12" min="12" style="1" width="20.75"/>
    <col collapsed="false" customWidth="true" hidden="false" outlineLevel="0" max="13" min="13" style="1" width="22.5"/>
    <col collapsed="false" customWidth="true" hidden="false" outlineLevel="0" max="14" min="14" style="1" width="22.75"/>
    <col collapsed="false" customWidth="true" hidden="false" outlineLevel="0" max="16" min="16" style="1" width="12.83"/>
    <col collapsed="false" customWidth="true" hidden="false" outlineLevel="0" max="17" min="17" style="1" width="11.34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316</v>
      </c>
      <c r="D1" s="12" t="s">
        <v>317</v>
      </c>
      <c r="E1" s="12" t="s">
        <v>318</v>
      </c>
      <c r="F1" s="12" t="s">
        <v>319</v>
      </c>
      <c r="G1" s="12" t="s">
        <v>320</v>
      </c>
      <c r="H1" s="12" t="s">
        <v>321</v>
      </c>
      <c r="I1" s="12" t="s">
        <v>322</v>
      </c>
      <c r="J1" s="12" t="s">
        <v>323</v>
      </c>
      <c r="K1" s="12" t="s">
        <v>324</v>
      </c>
      <c r="L1" s="12" t="s">
        <v>325</v>
      </c>
      <c r="M1" s="12" t="s">
        <v>326</v>
      </c>
      <c r="N1" s="12" t="s">
        <v>327</v>
      </c>
      <c r="O1" s="12" t="s">
        <v>328</v>
      </c>
      <c r="P1" s="12" t="s">
        <v>329</v>
      </c>
      <c r="Q1" s="12" t="s">
        <v>330</v>
      </c>
    </row>
    <row r="2" customFormat="false" ht="16.5" hidden="false" customHeight="true" outlineLevel="0" collapsed="false">
      <c r="A2" s="13" t="s">
        <v>313</v>
      </c>
      <c r="B2" s="13"/>
      <c r="C2" s="12" t="s">
        <v>382</v>
      </c>
      <c r="D2" s="12" t="s">
        <v>383</v>
      </c>
      <c r="E2" s="12" t="s">
        <v>384</v>
      </c>
      <c r="F2" s="12" t="s">
        <v>385</v>
      </c>
      <c r="G2" s="12" t="s">
        <v>386</v>
      </c>
      <c r="H2" s="12" t="s">
        <v>387</v>
      </c>
      <c r="I2" s="12" t="s">
        <v>388</v>
      </c>
      <c r="J2" s="12" t="s">
        <v>389</v>
      </c>
      <c r="K2" s="12" t="s">
        <v>336</v>
      </c>
      <c r="L2" s="12" t="s">
        <v>337</v>
      </c>
      <c r="M2" s="12" t="s">
        <v>338</v>
      </c>
      <c r="N2" s="12" t="s">
        <v>339</v>
      </c>
      <c r="O2" s="12" t="s">
        <v>390</v>
      </c>
      <c r="P2" s="12" t="s">
        <v>391</v>
      </c>
      <c r="Q2" s="12" t="s">
        <v>392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customFormat="false" ht="16.5" hidden="false" customHeight="true" outlineLevel="0" collapsed="false">
      <c r="A4" s="12"/>
      <c r="B4" s="12"/>
      <c r="C4" s="12" t="b">
        <f aca="false">FALSE()</f>
        <v>0</v>
      </c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  <c r="J4" s="12" t="b">
        <f aca="false">FALSE()</f>
        <v>0</v>
      </c>
      <c r="K4" s="12" t="b">
        <f aca="false">FALSE()</f>
        <v>0</v>
      </c>
      <c r="L4" s="12" t="b">
        <f aca="false">FALSE()</f>
        <v>0</v>
      </c>
      <c r="M4" s="12" t="b">
        <f aca="false">FALSE()</f>
        <v>0</v>
      </c>
      <c r="N4" s="12" t="b">
        <f aca="false">FALSE()</f>
        <v>0</v>
      </c>
      <c r="O4" s="12" t="b">
        <f aca="false">FALSE()</f>
        <v>0</v>
      </c>
      <c r="P4" s="12" t="b">
        <f aca="false">FALSE()</f>
        <v>0</v>
      </c>
      <c r="Q4" s="12" t="b">
        <f aca="false">FALSE()</f>
        <v>0</v>
      </c>
    </row>
    <row r="5" customFormat="false" ht="16.5" hidden="false" customHeight="true" outlineLevel="0" collapsed="false">
      <c r="A5" s="1" t="n">
        <v>1</v>
      </c>
      <c r="B5" s="14" t="s">
        <v>316</v>
      </c>
      <c r="C5" s="1" t="b">
        <f aca="false">TRUE()</f>
        <v>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  <c r="J5" s="1" t="b">
        <f aca="false">TRUE()</f>
        <v>1</v>
      </c>
      <c r="K5" s="1" t="b">
        <f aca="false">TRUE()</f>
        <v>1</v>
      </c>
      <c r="L5" s="1" t="b">
        <f aca="false">TRUE()</f>
        <v>1</v>
      </c>
      <c r="M5" s="1" t="b">
        <f aca="false">TRUE()</f>
        <v>1</v>
      </c>
      <c r="N5" s="1" t="b">
        <f aca="false">TRUE()</f>
        <v>1</v>
      </c>
      <c r="O5" s="1" t="b">
        <f aca="false">TRUE()</f>
        <v>1</v>
      </c>
      <c r="P5" s="1" t="b">
        <f aca="false">TRUE()</f>
        <v>1</v>
      </c>
    </row>
    <row r="6" customFormat="false" ht="16.5" hidden="false" customHeight="true" outlineLevel="0" collapsed="false">
      <c r="A6" s="1" t="n">
        <v>2</v>
      </c>
      <c r="B6" s="14" t="s">
        <v>317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  <c r="J6" s="1" t="b">
        <f aca="false">TRUE()</f>
        <v>1</v>
      </c>
      <c r="K6" s="1" t="b">
        <f aca="false">TRUE()</f>
        <v>1</v>
      </c>
      <c r="L6" s="1" t="b">
        <f aca="false">TRUE()</f>
        <v>1</v>
      </c>
      <c r="M6" s="1" t="b">
        <f aca="false">TRUE()</f>
        <v>1</v>
      </c>
      <c r="N6" s="1" t="b">
        <f aca="false">TRUE()</f>
        <v>1</v>
      </c>
      <c r="O6" s="1" t="b">
        <f aca="false">TRUE()</f>
        <v>1</v>
      </c>
      <c r="P6" s="1" t="b">
        <f aca="false">TRUE()</f>
        <v>1</v>
      </c>
    </row>
    <row r="7" customFormat="false" ht="16.5" hidden="false" customHeight="true" outlineLevel="0" collapsed="false">
      <c r="A7" s="1" t="n">
        <v>3</v>
      </c>
      <c r="B7" s="14" t="s">
        <v>318</v>
      </c>
      <c r="O7" s="1" t="b">
        <f aca="false">TRUE()</f>
        <v>1</v>
      </c>
      <c r="P7" s="1" t="b">
        <f aca="false">TRUE()</f>
        <v>1</v>
      </c>
    </row>
    <row r="8" customFormat="false" ht="16.5" hidden="false" customHeight="true" outlineLevel="0" collapsed="false">
      <c r="A8" s="1" t="n">
        <v>4</v>
      </c>
      <c r="B8" s="14" t="s">
        <v>319</v>
      </c>
      <c r="O8" s="1" t="b">
        <f aca="false">TRUE()</f>
        <v>1</v>
      </c>
      <c r="P8" s="1" t="b">
        <f aca="false">TRUE()</f>
        <v>1</v>
      </c>
    </row>
    <row r="9" customFormat="false" ht="16.5" hidden="false" customHeight="true" outlineLevel="0" collapsed="false">
      <c r="A9" s="1" t="n">
        <v>5</v>
      </c>
      <c r="B9" s="14" t="s">
        <v>320</v>
      </c>
      <c r="K9" s="1" t="b">
        <f aca="false">TRUE()</f>
        <v>1</v>
      </c>
      <c r="O9" s="1" t="b">
        <f aca="false">TRUE()</f>
        <v>1</v>
      </c>
      <c r="P9" s="1" t="b">
        <f aca="false">TRUE()</f>
        <v>1</v>
      </c>
    </row>
    <row r="10" customFormat="false" ht="16.5" hidden="false" customHeight="true" outlineLevel="0" collapsed="false">
      <c r="A10" s="1" t="n">
        <v>6</v>
      </c>
      <c r="B10" s="14" t="s">
        <v>321</v>
      </c>
      <c r="L10" s="1" t="b">
        <f aca="false">TRUE()</f>
        <v>1</v>
      </c>
      <c r="O10" s="1" t="b">
        <f aca="false">TRUE()</f>
        <v>1</v>
      </c>
      <c r="P10" s="1" t="b">
        <f aca="false">TRUE()</f>
        <v>1</v>
      </c>
    </row>
    <row r="11" customFormat="false" ht="16.5" hidden="false" customHeight="true" outlineLevel="0" collapsed="false">
      <c r="A11" s="1" t="n">
        <v>7</v>
      </c>
      <c r="B11" s="14" t="s">
        <v>322</v>
      </c>
      <c r="M11" s="1" t="b">
        <f aca="false">TRUE()</f>
        <v>1</v>
      </c>
      <c r="O11" s="1" t="b">
        <f aca="false">TRUE()</f>
        <v>1</v>
      </c>
      <c r="P11" s="1" t="b">
        <f aca="false">TRUE()</f>
        <v>1</v>
      </c>
    </row>
    <row r="12" customFormat="false" ht="16.5" hidden="false" customHeight="true" outlineLevel="0" collapsed="false">
      <c r="A12" s="1" t="n">
        <v>8</v>
      </c>
      <c r="B12" s="14" t="s">
        <v>323</v>
      </c>
      <c r="N12" s="1" t="b">
        <f aca="false">TRUE()</f>
        <v>1</v>
      </c>
      <c r="O12" s="1" t="b">
        <f aca="false">TRUE()</f>
        <v>1</v>
      </c>
      <c r="P12" s="1" t="b">
        <f aca="false">TRUE()</f>
        <v>1</v>
      </c>
    </row>
    <row r="13" customFormat="false" ht="16.5" hidden="false" customHeight="true" outlineLevel="0" collapsed="false">
      <c r="A13" s="1" t="n">
        <v>9</v>
      </c>
      <c r="B13" s="14" t="s">
        <v>324</v>
      </c>
    </row>
    <row r="14" customFormat="false" ht="16.5" hidden="false" customHeight="true" outlineLevel="0" collapsed="false">
      <c r="A14" s="1" t="n">
        <v>10</v>
      </c>
      <c r="B14" s="14" t="s">
        <v>325</v>
      </c>
    </row>
    <row r="15" customFormat="false" ht="16.5" hidden="false" customHeight="true" outlineLevel="0" collapsed="false">
      <c r="A15" s="1" t="n">
        <v>11</v>
      </c>
      <c r="B15" s="14" t="s">
        <v>326</v>
      </c>
    </row>
    <row r="16" customFormat="false" ht="16.5" hidden="false" customHeight="true" outlineLevel="0" collapsed="false">
      <c r="A16" s="1" t="n">
        <v>12</v>
      </c>
      <c r="B16" s="14" t="s">
        <v>327</v>
      </c>
    </row>
    <row r="17" customFormat="false" ht="16.5" hidden="false" customHeight="true" outlineLevel="0" collapsed="false">
      <c r="A17" s="1" t="n">
        <v>13</v>
      </c>
      <c r="B17" s="14" t="s">
        <v>328</v>
      </c>
    </row>
    <row r="18" customFormat="false" ht="16.5" hidden="false" customHeight="true" outlineLevel="0" collapsed="false">
      <c r="A18" s="1" t="n">
        <v>14</v>
      </c>
      <c r="B18" s="14" t="s">
        <v>329</v>
      </c>
    </row>
    <row r="19" customFormat="false" ht="16.5" hidden="false" customHeight="true" outlineLevel="0" collapsed="false">
      <c r="A19" s="1" t="n">
        <v>15</v>
      </c>
      <c r="B19" s="14" t="s">
        <v>330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16.75"/>
    <col collapsed="false" customWidth="true" hidden="false" outlineLevel="0" max="3" min="3" style="1" width="26.25"/>
    <col collapsed="false" customWidth="true" hidden="false" outlineLevel="0" max="10" min="4" style="1" width="9.09"/>
  </cols>
  <sheetData>
    <row r="1" customFormat="false" ht="28.5" hidden="false" customHeight="true" outlineLevel="0" collapsed="false">
      <c r="A1" s="12" t="s">
        <v>311</v>
      </c>
      <c r="B1" s="12" t="s">
        <v>53</v>
      </c>
      <c r="C1" s="12" t="s">
        <v>393</v>
      </c>
      <c r="D1" s="12" t="s">
        <v>394</v>
      </c>
      <c r="E1" s="12" t="s">
        <v>395</v>
      </c>
      <c r="F1" s="12" t="s">
        <v>396</v>
      </c>
      <c r="G1" s="12" t="s">
        <v>397</v>
      </c>
      <c r="H1" s="12" t="s">
        <v>398</v>
      </c>
      <c r="I1" s="12" t="s">
        <v>399</v>
      </c>
      <c r="J1" s="12" t="s">
        <v>400</v>
      </c>
    </row>
    <row r="2" customFormat="false" ht="16.5" hidden="false" customHeight="true" outlineLevel="0" collapsed="false">
      <c r="A2" s="13" t="s">
        <v>313</v>
      </c>
      <c r="B2" s="13"/>
      <c r="C2" s="13" t="s">
        <v>401</v>
      </c>
      <c r="D2" s="13" t="s">
        <v>402</v>
      </c>
      <c r="E2" s="13" t="s">
        <v>403</v>
      </c>
      <c r="F2" s="13" t="s">
        <v>404</v>
      </c>
      <c r="G2" s="13" t="s">
        <v>405</v>
      </c>
      <c r="H2" s="13" t="s">
        <v>406</v>
      </c>
      <c r="I2" s="13" t="s">
        <v>407</v>
      </c>
      <c r="J2" s="13" t="s">
        <v>408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</row>
    <row r="4" customFormat="false" ht="16.5" hidden="false" customHeight="true" outlineLevel="0" collapsed="false">
      <c r="A4" s="12"/>
      <c r="B4" s="12"/>
      <c r="C4" s="12" t="n">
        <v>-1</v>
      </c>
      <c r="D4" s="12" t="n">
        <v>-1</v>
      </c>
      <c r="E4" s="12" t="n">
        <v>-1</v>
      </c>
      <c r="F4" s="12" t="n">
        <v>-1</v>
      </c>
      <c r="G4" s="12" t="n">
        <v>-1</v>
      </c>
      <c r="H4" s="12" t="n">
        <v>-1</v>
      </c>
      <c r="I4" s="12" t="n">
        <v>-1</v>
      </c>
      <c r="J4" s="12" t="n">
        <v>-1</v>
      </c>
    </row>
    <row r="5" customFormat="false" ht="16.5" hidden="false" customHeight="true" outlineLevel="0" collapsed="false">
      <c r="A5" s="15" t="n">
        <v>1</v>
      </c>
      <c r="B5" s="15" t="s">
        <v>409</v>
      </c>
      <c r="C5" s="16" t="n">
        <v>1</v>
      </c>
      <c r="D5" s="16" t="n">
        <v>1</v>
      </c>
      <c r="E5" s="16" t="n">
        <v>1</v>
      </c>
      <c r="F5" s="16" t="n">
        <v>1</v>
      </c>
      <c r="G5" s="16" t="n">
        <v>1</v>
      </c>
      <c r="H5" s="16" t="n">
        <v>1</v>
      </c>
      <c r="I5" s="16" t="n">
        <v>1</v>
      </c>
      <c r="J5" s="16" t="n">
        <v>1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7" t="n">
        <v>1</v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7" t="n">
        <v>1</v>
      </c>
      <c r="D7" s="17" t="n">
        <v>1</v>
      </c>
      <c r="E7" s="17" t="n">
        <v>1</v>
      </c>
      <c r="F7" s="17" t="n">
        <v>1</v>
      </c>
      <c r="G7" s="17" t="n">
        <v>1</v>
      </c>
      <c r="H7" s="17" t="n">
        <v>1</v>
      </c>
      <c r="I7" s="17" t="n">
        <v>1</v>
      </c>
      <c r="J7" s="17" t="n">
        <v>1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7" t="n">
        <v>1</v>
      </c>
      <c r="D8" s="17" t="n">
        <v>1</v>
      </c>
      <c r="E8" s="17" t="n">
        <v>1</v>
      </c>
      <c r="F8" s="17" t="n">
        <v>1</v>
      </c>
      <c r="G8" s="17" t="n">
        <v>1</v>
      </c>
      <c r="H8" s="17" t="n">
        <v>1</v>
      </c>
      <c r="I8" s="17" t="n">
        <v>1</v>
      </c>
      <c r="J8" s="17" t="n">
        <v>1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7" t="n">
        <v>1</v>
      </c>
      <c r="D9" s="17" t="n">
        <v>1</v>
      </c>
      <c r="E9" s="17" t="n">
        <v>1</v>
      </c>
      <c r="F9" s="17" t="n">
        <v>1</v>
      </c>
      <c r="G9" s="17" t="n">
        <v>1</v>
      </c>
      <c r="H9" s="17" t="n">
        <v>1</v>
      </c>
      <c r="I9" s="17" t="n">
        <v>1</v>
      </c>
      <c r="J9" s="17" t="n">
        <v>1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I10" s="17" t="n">
        <v>1</v>
      </c>
      <c r="J10" s="17" t="n">
        <v>1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7" t="n">
        <v>1</v>
      </c>
      <c r="D11" s="17" t="n">
        <v>1</v>
      </c>
      <c r="E11" s="17" t="n">
        <v>1</v>
      </c>
      <c r="F11" s="17" t="n">
        <v>1</v>
      </c>
      <c r="G11" s="17" t="n">
        <v>1</v>
      </c>
      <c r="H11" s="17" t="n">
        <v>1</v>
      </c>
      <c r="I11" s="17" t="n">
        <v>1</v>
      </c>
      <c r="J11" s="17" t="n">
        <v>1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7" t="n">
        <v>1</v>
      </c>
      <c r="D12" s="17" t="n">
        <v>1</v>
      </c>
      <c r="E12" s="17" t="n">
        <v>1</v>
      </c>
      <c r="F12" s="17" t="n">
        <v>1</v>
      </c>
      <c r="G12" s="17" t="n">
        <v>1</v>
      </c>
      <c r="H12" s="17" t="n">
        <v>1</v>
      </c>
      <c r="I12" s="17" t="n">
        <v>1</v>
      </c>
      <c r="J12" s="17" t="n">
        <v>1</v>
      </c>
    </row>
    <row r="13" customFormat="false" ht="16.5" hidden="false" customHeight="true" outlineLevel="0" collapsed="false">
      <c r="A13" s="14" t="n">
        <v>9</v>
      </c>
      <c r="B13" s="14" t="s">
        <v>324</v>
      </c>
      <c r="C13" s="17" t="n">
        <v>5</v>
      </c>
      <c r="D13" s="17" t="n">
        <v>15</v>
      </c>
      <c r="E13" s="17" t="n">
        <v>25</v>
      </c>
      <c r="F13" s="17" t="n">
        <v>35</v>
      </c>
      <c r="G13" s="17" t="n">
        <v>45</v>
      </c>
      <c r="H13" s="17" t="n">
        <v>55</v>
      </c>
      <c r="I13" s="17" t="n">
        <v>65</v>
      </c>
      <c r="J13" s="17" t="n">
        <v>75</v>
      </c>
    </row>
    <row r="14" customFormat="false" ht="16.5" hidden="false" customHeight="true" outlineLevel="0" collapsed="false">
      <c r="A14" s="14" t="n">
        <v>10</v>
      </c>
      <c r="B14" s="14" t="s">
        <v>325</v>
      </c>
      <c r="C14" s="17" t="n">
        <v>5</v>
      </c>
      <c r="D14" s="17" t="n">
        <v>15</v>
      </c>
      <c r="E14" s="17" t="n">
        <v>25</v>
      </c>
      <c r="F14" s="17" t="n">
        <v>35</v>
      </c>
      <c r="G14" s="17" t="n">
        <v>45</v>
      </c>
      <c r="H14" s="17" t="n">
        <v>55</v>
      </c>
      <c r="I14" s="17" t="n">
        <v>65</v>
      </c>
      <c r="J14" s="17" t="n">
        <v>75</v>
      </c>
    </row>
    <row r="15" customFormat="false" ht="16.5" hidden="false" customHeight="true" outlineLevel="0" collapsed="false">
      <c r="A15" s="14" t="n">
        <v>11</v>
      </c>
      <c r="B15" s="14" t="s">
        <v>326</v>
      </c>
      <c r="C15" s="17" t="n">
        <v>5</v>
      </c>
      <c r="D15" s="17" t="n">
        <v>15</v>
      </c>
      <c r="E15" s="17" t="n">
        <v>25</v>
      </c>
      <c r="F15" s="17" t="n">
        <v>35</v>
      </c>
      <c r="G15" s="17" t="n">
        <v>45</v>
      </c>
      <c r="H15" s="17" t="n">
        <v>55</v>
      </c>
      <c r="I15" s="17" t="n">
        <v>65</v>
      </c>
      <c r="J15" s="17" t="n">
        <v>75</v>
      </c>
    </row>
    <row r="16" customFormat="false" ht="16.5" hidden="false" customHeight="true" outlineLevel="0" collapsed="false">
      <c r="A16" s="14" t="n">
        <v>12</v>
      </c>
      <c r="B16" s="14" t="s">
        <v>327</v>
      </c>
      <c r="C16" s="17" t="n">
        <v>5</v>
      </c>
      <c r="D16" s="17" t="n">
        <v>15</v>
      </c>
      <c r="E16" s="17" t="n">
        <v>25</v>
      </c>
      <c r="F16" s="17" t="n">
        <v>35</v>
      </c>
      <c r="G16" s="17" t="n">
        <v>45</v>
      </c>
      <c r="H16" s="17" t="n">
        <v>55</v>
      </c>
      <c r="I16" s="17" t="n">
        <v>65</v>
      </c>
      <c r="J16" s="17" t="n">
        <v>75</v>
      </c>
    </row>
    <row r="17" customFormat="false" ht="16.5" hidden="false" customHeight="true" outlineLevel="0" collapsed="false">
      <c r="A17" s="14" t="n">
        <v>13</v>
      </c>
      <c r="B17" s="14" t="s">
        <v>328</v>
      </c>
      <c r="C17" s="17" t="n">
        <v>-1</v>
      </c>
      <c r="D17" s="17" t="n">
        <v>-1</v>
      </c>
      <c r="E17" s="17" t="n">
        <v>-1</v>
      </c>
      <c r="F17" s="17" t="n">
        <v>-1</v>
      </c>
      <c r="G17" s="17" t="n">
        <v>-1</v>
      </c>
      <c r="H17" s="17" t="n">
        <v>-1</v>
      </c>
      <c r="I17" s="17" t="n">
        <v>-1</v>
      </c>
      <c r="J17" s="17" t="n">
        <v>-1</v>
      </c>
    </row>
    <row r="18" customFormat="false" ht="16.5" hidden="false" customHeight="true" outlineLevel="0" collapsed="false">
      <c r="A18" s="14" t="n">
        <v>14</v>
      </c>
      <c r="B18" s="14" t="s">
        <v>329</v>
      </c>
      <c r="C18" s="17" t="n">
        <v>-1</v>
      </c>
      <c r="D18" s="17" t="n">
        <v>-1</v>
      </c>
      <c r="E18" s="17" t="n">
        <v>-1</v>
      </c>
      <c r="F18" s="17" t="n">
        <v>-1</v>
      </c>
      <c r="G18" s="17" t="n">
        <v>-1</v>
      </c>
      <c r="H18" s="17" t="n">
        <v>-1</v>
      </c>
      <c r="I18" s="17" t="n">
        <v>-1</v>
      </c>
      <c r="J18" s="17" t="n">
        <v>-1</v>
      </c>
    </row>
    <row r="19" customFormat="false" ht="16.5" hidden="false" customHeight="true" outlineLevel="0" collapsed="false">
      <c r="A19" s="14" t="n">
        <v>15</v>
      </c>
      <c r="B19" s="14" t="s">
        <v>330</v>
      </c>
      <c r="C19" s="17" t="n">
        <v>-1</v>
      </c>
      <c r="D19" s="17" t="n">
        <v>-1</v>
      </c>
      <c r="E19" s="17" t="n">
        <v>-1</v>
      </c>
      <c r="F19" s="17" t="n">
        <v>-1</v>
      </c>
      <c r="G19" s="17" t="n">
        <v>-1</v>
      </c>
      <c r="H19" s="17" t="n">
        <v>-1</v>
      </c>
      <c r="I19" s="17" t="n">
        <v>-1</v>
      </c>
      <c r="J19" s="17" t="n">
        <v>-1</v>
      </c>
    </row>
  </sheetData>
  <conditionalFormatting sqref="B1:J3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K21" activeCellId="0" sqref="K2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1.84"/>
    <col collapsed="false" customWidth="true" hidden="false" outlineLevel="0" max="2" min="2" style="1" width="35"/>
    <col collapsed="false" customWidth="true" hidden="false" outlineLevel="0" max="3" min="3" style="1" width="14.84"/>
    <col collapsed="false" customWidth="true" hidden="false" outlineLevel="0" max="4" min="4" style="1" width="11.75"/>
    <col collapsed="false" customWidth="true" hidden="false" outlineLevel="0" max="5" min="5" style="1" width="11.84"/>
    <col collapsed="false" customWidth="true" hidden="false" outlineLevel="0" max="8" min="6" style="1" width="17.09"/>
    <col collapsed="false" customWidth="true" hidden="false" outlineLevel="0" max="9" min="9" style="1" width="11.75"/>
    <col collapsed="false" customWidth="true" hidden="false" outlineLevel="0" max="11" min="10" style="1" width="18.09"/>
    <col collapsed="false" customWidth="true" hidden="false" outlineLevel="0" max="12" min="12" style="1" width="21.84"/>
    <col collapsed="false" customWidth="true" hidden="false" outlineLevel="0" max="13" min="13" style="1" width="11.75"/>
    <col collapsed="false" customWidth="true" hidden="false" outlineLevel="0" max="14" min="14" style="1" width="26.75"/>
    <col collapsed="false" customWidth="true" hidden="false" outlineLevel="0" max="15" min="15" style="1" width="13"/>
  </cols>
  <sheetData>
    <row r="1" customFormat="false" ht="16.5" hidden="false" customHeight="true" outlineLevel="0" collapsed="false">
      <c r="A1" s="12" t="s">
        <v>410</v>
      </c>
      <c r="B1" s="12" t="s">
        <v>411</v>
      </c>
      <c r="C1" s="12" t="s">
        <v>412</v>
      </c>
      <c r="D1" s="12" t="s">
        <v>413</v>
      </c>
      <c r="E1" s="12" t="s">
        <v>414</v>
      </c>
      <c r="F1" s="12" t="s">
        <v>415</v>
      </c>
      <c r="G1" s="12" t="s">
        <v>416</v>
      </c>
      <c r="H1" s="12" t="s">
        <v>417</v>
      </c>
      <c r="I1" s="13" t="s">
        <v>418</v>
      </c>
      <c r="J1" s="12" t="s">
        <v>419</v>
      </c>
      <c r="K1" s="12" t="s">
        <v>420</v>
      </c>
      <c r="L1" s="12" t="s">
        <v>421</v>
      </c>
      <c r="M1" s="12" t="s">
        <v>422</v>
      </c>
      <c r="N1" s="12" t="s">
        <v>423</v>
      </c>
      <c r="O1" s="12" t="s">
        <v>424</v>
      </c>
    </row>
    <row r="2" customFormat="false" ht="16.5" hidden="false" customHeight="true" outlineLevel="0" collapsed="false">
      <c r="A2" s="13" t="s">
        <v>425</v>
      </c>
      <c r="B2" s="13" t="s">
        <v>426</v>
      </c>
      <c r="C2" s="13" t="s">
        <v>427</v>
      </c>
      <c r="D2" s="13" t="s">
        <v>428</v>
      </c>
      <c r="E2" s="13" t="s">
        <v>429</v>
      </c>
      <c r="F2" s="13" t="s">
        <v>430</v>
      </c>
      <c r="G2" s="13" t="s">
        <v>431</v>
      </c>
      <c r="H2" s="13" t="s">
        <v>432</v>
      </c>
      <c r="I2" s="13" t="s">
        <v>433</v>
      </c>
      <c r="J2" s="13" t="s">
        <v>434</v>
      </c>
      <c r="K2" s="13" t="s">
        <v>435</v>
      </c>
      <c r="L2" s="13" t="s">
        <v>436</v>
      </c>
      <c r="M2" s="13" t="s">
        <v>437</v>
      </c>
      <c r="N2" s="13" t="s">
        <v>438</v>
      </c>
      <c r="O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  <c r="K3" s="12" t="s">
        <v>315</v>
      </c>
      <c r="L3" s="12" t="s">
        <v>315</v>
      </c>
      <c r="M3" s="12" t="s">
        <v>315</v>
      </c>
      <c r="N3" s="12" t="s">
        <v>315</v>
      </c>
      <c r="O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 t="s">
        <v>440</v>
      </c>
      <c r="K4" s="12" t="n">
        <v>4018</v>
      </c>
      <c r="L4" s="18" t="s">
        <v>441</v>
      </c>
      <c r="M4" s="12" t="n">
        <v>135</v>
      </c>
      <c r="N4" s="18" t="s">
        <v>442</v>
      </c>
      <c r="O4" s="12" t="n">
        <v>-45</v>
      </c>
    </row>
    <row r="5" customFormat="false" ht="13.5" hidden="false" customHeight="true" outlineLevel="0" collapsed="false">
      <c r="A5" s="1" t="n">
        <v>1</v>
      </c>
      <c r="B5" s="1" t="n">
        <v>0</v>
      </c>
      <c r="C5" s="1" t="n">
        <v>0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1</v>
      </c>
      <c r="I5" s="10" t="n">
        <v>1086</v>
      </c>
      <c r="J5" s="10"/>
      <c r="K5" s="10"/>
      <c r="L5" s="10"/>
      <c r="M5" s="10"/>
      <c r="N5" s="10"/>
      <c r="O5" s="10"/>
    </row>
    <row r="6" customFormat="false" ht="13.5" hidden="false" customHeight="true" outlineLevel="0" collapsed="false">
      <c r="A6" s="1" t="n">
        <v>2</v>
      </c>
      <c r="B6" s="1" t="n">
        <v>2</v>
      </c>
      <c r="C6" s="1" t="n">
        <v>18000000</v>
      </c>
      <c r="D6" s="1" t="n">
        <v>2</v>
      </c>
      <c r="E6" s="1" t="n">
        <v>2</v>
      </c>
      <c r="F6" s="1" t="n">
        <v>2</v>
      </c>
      <c r="G6" s="1" t="n">
        <v>2</v>
      </c>
      <c r="H6" s="1" t="n">
        <v>2</v>
      </c>
      <c r="I6" s="10" t="n">
        <v>1087</v>
      </c>
      <c r="J6" s="10"/>
      <c r="K6" s="10"/>
      <c r="L6" s="10"/>
      <c r="M6" s="10"/>
      <c r="N6" s="10"/>
      <c r="O6" s="10"/>
    </row>
    <row r="7" customFormat="false" ht="13.5" hidden="false" customHeight="true" outlineLevel="0" collapsed="false">
      <c r="A7" s="1" t="n">
        <v>3</v>
      </c>
      <c r="B7" s="1" t="n">
        <v>4</v>
      </c>
      <c r="C7" s="1" t="n">
        <v>30000000</v>
      </c>
      <c r="D7" s="1" t="n">
        <v>3</v>
      </c>
      <c r="E7" s="1" t="n">
        <v>3</v>
      </c>
      <c r="F7" s="1" t="n">
        <v>3</v>
      </c>
      <c r="G7" s="1" t="n">
        <v>3</v>
      </c>
      <c r="H7" s="1" t="n">
        <v>3</v>
      </c>
      <c r="I7" s="10" t="n">
        <v>1088</v>
      </c>
      <c r="J7" s="10"/>
      <c r="K7" s="10"/>
      <c r="L7" s="10"/>
      <c r="M7" s="10"/>
      <c r="N7" s="10"/>
      <c r="O7" s="10"/>
    </row>
    <row r="8" customFormat="false" ht="13.5" hidden="false" customHeight="true" outlineLevel="0" collapsed="false">
      <c r="A8" s="1" t="n">
        <v>4</v>
      </c>
      <c r="B8" s="1" t="n">
        <v>6</v>
      </c>
      <c r="C8" s="1" t="n">
        <v>45000000</v>
      </c>
      <c r="D8" s="1" t="n">
        <v>4</v>
      </c>
      <c r="E8" s="1" t="n">
        <v>4</v>
      </c>
      <c r="F8" s="1" t="n">
        <v>4</v>
      </c>
      <c r="G8" s="1" t="n">
        <v>4</v>
      </c>
      <c r="H8" s="1" t="n">
        <v>4</v>
      </c>
      <c r="I8" s="10" t="n">
        <v>1089</v>
      </c>
      <c r="J8" s="10"/>
      <c r="K8" s="10"/>
      <c r="L8" s="10"/>
      <c r="M8" s="10"/>
      <c r="N8" s="10"/>
      <c r="O8" s="10"/>
    </row>
    <row r="9" customFormat="false" ht="13.5" hidden="false" customHeight="true" outlineLevel="0" collapsed="false">
      <c r="A9" s="1" t="n">
        <v>5</v>
      </c>
      <c r="B9" s="1" t="n">
        <v>8</v>
      </c>
      <c r="C9" s="1" t="n">
        <v>63000000</v>
      </c>
      <c r="D9" s="1" t="n">
        <v>5</v>
      </c>
      <c r="E9" s="1" t="n">
        <v>5</v>
      </c>
      <c r="F9" s="1" t="n">
        <v>5</v>
      </c>
      <c r="G9" s="1" t="n">
        <v>5</v>
      </c>
      <c r="H9" s="1" t="n">
        <v>5</v>
      </c>
      <c r="I9" s="10" t="n">
        <v>1090</v>
      </c>
      <c r="J9" s="10"/>
      <c r="K9" s="10"/>
      <c r="L9" s="10"/>
      <c r="M9" s="10"/>
      <c r="N9" s="10"/>
      <c r="O9" s="10"/>
    </row>
    <row r="10" customFormat="false" ht="13.5" hidden="false" customHeight="true" outlineLevel="0" collapsed="false">
      <c r="K10" s="10"/>
    </row>
    <row r="11" customFormat="false" ht="13.5" hidden="false" customHeight="true" outlineLevel="0" collapsed="false">
      <c r="K11" s="10"/>
    </row>
  </sheetData>
  <conditionalFormatting sqref="K1">
    <cfRule type="duplicateValues" priority="2" aboveAverage="0" equalAverage="0" bottom="0" percent="0" rank="0" text="" dxfId="0"/>
  </conditionalFormatting>
  <conditionalFormatting sqref="J1:J2">
    <cfRule type="duplicateValues" priority="3" aboveAverage="0" equalAverage="0" bottom="0" percent="0" rank="0" text="" dxfId="0"/>
  </conditionalFormatting>
  <conditionalFormatting sqref="C1:H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0" width="11.84"/>
    <col collapsed="false" customWidth="true" hidden="false" outlineLevel="0" max="2" min="2" style="10" width="11.75"/>
    <col collapsed="false" customWidth="true" hidden="false" outlineLevel="0" max="3" min="3" style="10" width="12.5"/>
    <col collapsed="false" customWidth="true" hidden="false" outlineLevel="0" max="4" min="4" style="10" width="11.75"/>
    <col collapsed="false" customWidth="true" hidden="false" outlineLevel="0" max="5" min="5" style="10" width="18.59"/>
    <col collapsed="false" customWidth="true" hidden="false" outlineLevel="0" max="6" min="6" style="1" width="18.09"/>
    <col collapsed="false" customWidth="true" hidden="false" outlineLevel="0" max="7" min="7" style="10" width="21.84"/>
    <col collapsed="false" customWidth="true" hidden="false" outlineLevel="0" max="8" min="8" style="10" width="11.75"/>
    <col collapsed="false" customWidth="true" hidden="false" outlineLevel="0" max="10" min="9" style="10" width="26.75"/>
    <col collapsed="false" customWidth="false" hidden="false" outlineLevel="0" max="16384" min="11" style="10" width="9"/>
  </cols>
  <sheetData>
    <row r="1" customFormat="false" ht="16.5" hidden="false" customHeight="true" outlineLevel="0" collapsed="false">
      <c r="A1" s="12" t="s">
        <v>443</v>
      </c>
      <c r="B1" s="12" t="s">
        <v>412</v>
      </c>
      <c r="C1" s="12" t="s">
        <v>444</v>
      </c>
      <c r="D1" s="13" t="s">
        <v>418</v>
      </c>
      <c r="E1" s="12" t="s">
        <v>419</v>
      </c>
      <c r="F1" s="12" t="s">
        <v>420</v>
      </c>
      <c r="G1" s="12" t="s">
        <v>445</v>
      </c>
      <c r="H1" s="12" t="s">
        <v>422</v>
      </c>
      <c r="I1" s="12" t="s">
        <v>423</v>
      </c>
      <c r="J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446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 t="s">
        <v>26</v>
      </c>
      <c r="F4" s="12" t="n">
        <v>4019</v>
      </c>
      <c r="G4" s="12" t="s">
        <v>447</v>
      </c>
      <c r="H4" s="12" t="n">
        <v>135</v>
      </c>
      <c r="I4" s="12" t="s">
        <v>448</v>
      </c>
      <c r="J4" s="12" t="n">
        <v>-45</v>
      </c>
    </row>
    <row r="5" s="10" customFormat="true" ht="13.5" hidden="false" customHeight="true" outlineLevel="0" collapsed="false">
      <c r="A5" s="10" t="n">
        <v>0</v>
      </c>
      <c r="B5" s="10" t="n">
        <v>0</v>
      </c>
      <c r="C5" s="10" t="n">
        <v>20000000</v>
      </c>
      <c r="D5" s="10" t="n">
        <v>0</v>
      </c>
    </row>
    <row r="6" s="10" customFormat="true" ht="13.5" hidden="false" customHeight="true" outlineLevel="0" collapsed="false">
      <c r="A6" s="10" t="n">
        <v>1</v>
      </c>
      <c r="B6" s="10" t="n">
        <v>1500000</v>
      </c>
      <c r="C6" s="10" t="n">
        <v>35000000</v>
      </c>
      <c r="D6" s="10" t="n">
        <v>1111</v>
      </c>
    </row>
    <row r="7" s="10" customFormat="true" ht="13.5" hidden="false" customHeight="true" outlineLevel="0" collapsed="false">
      <c r="A7" s="10" t="n">
        <v>2</v>
      </c>
      <c r="B7" s="10" t="n">
        <v>3000000</v>
      </c>
      <c r="C7" s="10" t="n">
        <v>50000000</v>
      </c>
      <c r="D7" s="10" t="n">
        <v>1112</v>
      </c>
    </row>
    <row r="8" s="10" customFormat="true" ht="13.5" hidden="false" customHeight="true" outlineLevel="0" collapsed="false">
      <c r="A8" s="10" t="n">
        <v>3</v>
      </c>
      <c r="B8" s="10" t="n">
        <v>6000000</v>
      </c>
      <c r="C8" s="10" t="n">
        <v>65000000</v>
      </c>
      <c r="D8" s="10" t="n">
        <v>1113</v>
      </c>
    </row>
    <row r="9" s="10" customFormat="true" ht="13.5" hidden="false" customHeight="true" outlineLevel="0" collapsed="false">
      <c r="A9" s="10" t="n">
        <v>4</v>
      </c>
      <c r="B9" s="10" t="n">
        <v>15000000</v>
      </c>
      <c r="C9" s="10" t="n">
        <v>80000000</v>
      </c>
      <c r="D9" s="10" t="n">
        <v>1114</v>
      </c>
    </row>
    <row r="10" s="10" customFormat="true" ht="13.5" hidden="false" customHeight="true" outlineLevel="0" collapsed="false">
      <c r="A10" s="10" t="n">
        <v>5</v>
      </c>
      <c r="B10" s="10" t="n">
        <v>24000000</v>
      </c>
      <c r="C10" s="10" t="n">
        <v>95000000</v>
      </c>
      <c r="D10" s="10" t="n">
        <v>1115</v>
      </c>
    </row>
    <row r="11" s="10" customFormat="true" ht="13.5" hidden="false" customHeight="true" outlineLevel="0" collapsed="false"/>
  </sheetData>
  <conditionalFormatting sqref="F1">
    <cfRule type="duplicateValues" priority="2" aboveAverage="0" equalAverage="0" bottom="0" percent="0" rank="0" text="" dxfId="0"/>
  </conditionalFormatting>
  <conditionalFormatting sqref="B1:C2 E1:E2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09"/>
    <col collapsed="false" customWidth="true" hidden="false" outlineLevel="0" max="3" min="2" style="1" width="11.75"/>
    <col collapsed="false" customWidth="true" hidden="false" outlineLevel="0" max="5" min="4" style="1" width="18.09"/>
    <col collapsed="false" customWidth="true" hidden="false" outlineLevel="0" max="6" min="6" style="1" width="21.84"/>
    <col collapsed="false" customWidth="true" hidden="false" outlineLevel="0" max="7" min="7" style="1" width="11.75"/>
    <col collapsed="false" customWidth="true" hidden="false" outlineLevel="0" max="8" min="8" style="1" width="26.75"/>
    <col collapsed="false" customWidth="true" hidden="false" outlineLevel="0" max="9" min="9" style="10" width="26.75"/>
  </cols>
  <sheetData>
    <row r="1" customFormat="false" ht="16.5" hidden="false" customHeight="true" outlineLevel="0" collapsed="false">
      <c r="A1" s="12" t="s">
        <v>449</v>
      </c>
      <c r="B1" s="12" t="s">
        <v>412</v>
      </c>
      <c r="C1" s="13" t="s">
        <v>418</v>
      </c>
      <c r="D1" s="12" t="s">
        <v>419</v>
      </c>
      <c r="E1" s="12" t="s">
        <v>420</v>
      </c>
      <c r="F1" s="12" t="s">
        <v>450</v>
      </c>
      <c r="G1" s="12" t="s">
        <v>422</v>
      </c>
      <c r="H1" s="12" t="s">
        <v>423</v>
      </c>
      <c r="I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433</v>
      </c>
      <c r="D2" s="13" t="s">
        <v>434</v>
      </c>
      <c r="E2" s="13" t="s">
        <v>435</v>
      </c>
      <c r="F2" s="13" t="s">
        <v>436</v>
      </c>
      <c r="G2" s="13" t="s">
        <v>437</v>
      </c>
      <c r="H2" s="13" t="s">
        <v>438</v>
      </c>
      <c r="I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</row>
    <row r="4" customFormat="false" ht="16.5" hidden="false" customHeight="true" outlineLevel="0" collapsed="false">
      <c r="A4" s="12"/>
      <c r="B4" s="12"/>
      <c r="C4" s="12"/>
      <c r="D4" s="12" t="s">
        <v>29</v>
      </c>
      <c r="E4" s="12" t="n">
        <v>4020</v>
      </c>
      <c r="F4" s="12" t="s">
        <v>451</v>
      </c>
      <c r="G4" s="12" t="n">
        <v>-135</v>
      </c>
      <c r="H4" s="12" t="s">
        <v>452</v>
      </c>
      <c r="I4" s="12" t="n">
        <v>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0" t="n">
        <v>0</v>
      </c>
      <c r="E5" s="10"/>
      <c r="G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0" t="n">
        <v>1091</v>
      </c>
      <c r="E6" s="10"/>
      <c r="G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0" t="n">
        <v>1092</v>
      </c>
      <c r="E7" s="10"/>
      <c r="G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0" t="n">
        <v>1093</v>
      </c>
      <c r="E8" s="10"/>
      <c r="G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0" t="n">
        <v>1094</v>
      </c>
      <c r="E9" s="10"/>
      <c r="G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0" t="n">
        <v>1095</v>
      </c>
      <c r="E10" s="10"/>
      <c r="G10" s="10"/>
    </row>
    <row r="11" customFormat="false" ht="13.5" hidden="false" customHeight="true" outlineLevel="0" collapsed="false">
      <c r="E11" s="10"/>
    </row>
  </sheetData>
  <conditionalFormatting sqref="E1">
    <cfRule type="duplicateValues" priority="2" aboveAverage="0" equalAverage="0" bottom="0" percent="0" rank="0" text="" dxfId="0"/>
  </conditionalFormatting>
  <conditionalFormatting sqref="D1:D2">
    <cfRule type="duplicateValues" priority="3" aboveAverage="0" equalAverage="0" bottom="0" percent="0" rank="0" text="" dxfId="0"/>
  </conditionalFormatting>
  <conditionalFormatting sqref="B1:B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2" min="1" style="1" width="11.75"/>
    <col collapsed="false" customWidth="true" hidden="false" outlineLevel="0" max="3" min="3" style="1" width="14.75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6.5" hidden="false" customHeight="true" outlineLevel="0" collapsed="false">
      <c r="A1" s="12" t="s">
        <v>453</v>
      </c>
      <c r="B1" s="12" t="s">
        <v>412</v>
      </c>
      <c r="C1" s="12" t="s">
        <v>454</v>
      </c>
      <c r="D1" s="13" t="s">
        <v>418</v>
      </c>
      <c r="E1" s="12" t="s">
        <v>419</v>
      </c>
      <c r="F1" s="12" t="s">
        <v>420</v>
      </c>
      <c r="G1" s="12" t="s">
        <v>455</v>
      </c>
      <c r="H1" s="12" t="s">
        <v>422</v>
      </c>
      <c r="I1" s="12" t="s">
        <v>423</v>
      </c>
      <c r="J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456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 t="s">
        <v>32</v>
      </c>
      <c r="F4" s="12" t="n">
        <v>4022</v>
      </c>
      <c r="G4" s="18" t="s">
        <v>457</v>
      </c>
      <c r="H4" s="12" t="n">
        <v>135</v>
      </c>
      <c r="I4" s="18" t="s">
        <v>458</v>
      </c>
      <c r="J4" s="12" t="n">
        <v>-45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100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130</v>
      </c>
      <c r="D6" s="10" t="n">
        <v>1106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160</v>
      </c>
      <c r="D7" s="10" t="n">
        <v>1107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190</v>
      </c>
      <c r="D8" s="10" t="n">
        <v>1108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220</v>
      </c>
      <c r="D9" s="10" t="n">
        <v>1109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250</v>
      </c>
      <c r="D10" s="10" t="n">
        <v>1110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.34"/>
    <col collapsed="false" customWidth="true" hidden="false" outlineLevel="0" max="3" min="3" style="1" width="16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4.25" hidden="false" customHeight="true" outlineLevel="0" collapsed="false">
      <c r="A1" s="12" t="s">
        <v>459</v>
      </c>
      <c r="B1" s="12" t="s">
        <v>412</v>
      </c>
      <c r="C1" s="12" t="s">
        <v>460</v>
      </c>
      <c r="D1" s="13" t="s">
        <v>418</v>
      </c>
      <c r="E1" s="12" t="s">
        <v>419</v>
      </c>
      <c r="F1" s="12" t="s">
        <v>420</v>
      </c>
      <c r="G1" s="12" t="s">
        <v>461</v>
      </c>
      <c r="H1" s="12" t="s">
        <v>422</v>
      </c>
      <c r="I1" s="12" t="s">
        <v>423</v>
      </c>
      <c r="J1" s="12" t="s">
        <v>424</v>
      </c>
    </row>
    <row r="2" customFormat="false" ht="14.25" hidden="false" customHeight="true" outlineLevel="0" collapsed="false">
      <c r="A2" s="13" t="s">
        <v>425</v>
      </c>
      <c r="B2" s="13" t="s">
        <v>427</v>
      </c>
      <c r="C2" s="13" t="s">
        <v>462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4.2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4.25" hidden="false" customHeight="true" outlineLevel="0" collapsed="false">
      <c r="A4" s="12"/>
      <c r="B4" s="12"/>
      <c r="C4" s="12"/>
      <c r="D4" s="12"/>
      <c r="E4" s="12" t="s">
        <v>35</v>
      </c>
      <c r="F4" s="12" t="n">
        <v>4021</v>
      </c>
      <c r="G4" s="18" t="s">
        <v>463</v>
      </c>
      <c r="H4" s="12" t="n">
        <v>135</v>
      </c>
      <c r="I4" s="18" t="s">
        <v>464</v>
      </c>
      <c r="J4" s="12" t="n">
        <v>-45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40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60</v>
      </c>
      <c r="D6" s="10" t="n">
        <v>1096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80</v>
      </c>
      <c r="D7" s="10" t="n">
        <v>1097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100</v>
      </c>
      <c r="D8" s="10" t="n">
        <v>1098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120</v>
      </c>
      <c r="D9" s="10" t="n">
        <v>1099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140</v>
      </c>
      <c r="D10" s="10" t="n">
        <v>1100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6.5"/>
    <col collapsed="false" customWidth="true" hidden="false" outlineLevel="0" max="2" min="2" style="1" width="11.75"/>
    <col collapsed="false" customWidth="true" hidden="false" outlineLevel="0" max="3" min="3" style="1" width="16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4.25" hidden="false" customHeight="true" outlineLevel="0" collapsed="false">
      <c r="A1" s="12" t="s">
        <v>465</v>
      </c>
      <c r="B1" s="12" t="s">
        <v>412</v>
      </c>
      <c r="C1" s="12" t="s">
        <v>466</v>
      </c>
      <c r="D1" s="13" t="s">
        <v>418</v>
      </c>
      <c r="E1" s="12" t="s">
        <v>419</v>
      </c>
      <c r="F1" s="12" t="s">
        <v>420</v>
      </c>
      <c r="G1" s="12" t="s">
        <v>467</v>
      </c>
      <c r="H1" s="12" t="s">
        <v>422</v>
      </c>
      <c r="I1" s="12" t="s">
        <v>423</v>
      </c>
      <c r="J1" s="12" t="s">
        <v>424</v>
      </c>
    </row>
    <row r="2" customFormat="false" ht="14.25" hidden="false" customHeight="true" outlineLevel="0" collapsed="false">
      <c r="A2" s="13" t="s">
        <v>425</v>
      </c>
      <c r="B2" s="13" t="s">
        <v>427</v>
      </c>
      <c r="C2" s="13" t="s">
        <v>468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4.2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4.25" hidden="false" customHeight="true" outlineLevel="0" collapsed="false">
      <c r="A4" s="12"/>
      <c r="B4" s="12"/>
      <c r="C4" s="12"/>
      <c r="D4" s="12"/>
      <c r="E4" s="12" t="s">
        <v>38</v>
      </c>
      <c r="F4" s="12" t="n">
        <v>4023</v>
      </c>
      <c r="G4" s="12" t="s">
        <v>469</v>
      </c>
      <c r="H4" s="12" t="n">
        <v>-135</v>
      </c>
      <c r="I4" s="12" t="s">
        <v>470</v>
      </c>
      <c r="J4" s="12" t="n">
        <v>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40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60</v>
      </c>
      <c r="D6" s="10" t="n">
        <v>1101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80</v>
      </c>
      <c r="D7" s="10" t="n">
        <v>1102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100</v>
      </c>
      <c r="D8" s="10" t="n">
        <v>1103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120</v>
      </c>
      <c r="D9" s="10" t="n">
        <v>1104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140</v>
      </c>
      <c r="D10" s="10" t="n">
        <v>1105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4" activeCellId="0" sqref="J2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3" min="1" style="1" width="11.75"/>
    <col collapsed="false" customWidth="true" hidden="false" outlineLevel="0" max="4" min="4" style="1" width="14.84"/>
    <col collapsed="false" customWidth="true" hidden="false" outlineLevel="0" max="6" min="5" style="1" width="11.75"/>
    <col collapsed="false" customWidth="true" hidden="false" outlineLevel="0" max="7" min="7" style="1" width="12.83"/>
  </cols>
  <sheetData>
    <row r="1" customFormat="false" ht="16.5" hidden="false" customHeight="true" outlineLevel="0" collapsed="false">
      <c r="A1" s="12" t="s">
        <v>471</v>
      </c>
      <c r="B1" s="12" t="s">
        <v>472</v>
      </c>
      <c r="C1" s="12" t="s">
        <v>473</v>
      </c>
      <c r="D1" s="12" t="s">
        <v>474</v>
      </c>
      <c r="E1" s="12" t="s">
        <v>475</v>
      </c>
    </row>
    <row r="2" customFormat="false" ht="16.5" hidden="false" customHeight="true" outlineLevel="0" collapsed="false">
      <c r="A2" s="13" t="s">
        <v>476</v>
      </c>
      <c r="B2" s="13" t="s">
        <v>477</v>
      </c>
      <c r="C2" s="13" t="s">
        <v>478</v>
      </c>
      <c r="D2" s="13" t="s">
        <v>479</v>
      </c>
      <c r="E2" s="13" t="s">
        <v>480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/>
    </row>
    <row r="5" customFormat="false" ht="13.5" hidden="false" customHeight="true" outlineLevel="0" collapsed="false">
      <c r="A5" s="1" t="n">
        <v>1</v>
      </c>
      <c r="B5" s="1" t="n">
        <v>100</v>
      </c>
      <c r="C5" s="1" t="n">
        <v>10001</v>
      </c>
      <c r="D5" s="1" t="n">
        <v>1</v>
      </c>
      <c r="E5" s="1" t="n">
        <v>10001</v>
      </c>
    </row>
    <row r="6" customFormat="false" ht="13.5" hidden="false" customHeight="true" outlineLevel="0" collapsed="false">
      <c r="A6" s="1" t="n">
        <v>2</v>
      </c>
      <c r="B6" s="1" t="n">
        <v>100</v>
      </c>
      <c r="C6" s="1" t="n">
        <v>10001</v>
      </c>
      <c r="D6" s="1" t="n">
        <v>2</v>
      </c>
      <c r="E6" s="1" t="n">
        <v>10001</v>
      </c>
    </row>
    <row r="7" customFormat="false" ht="13.5" hidden="false" customHeight="true" outlineLevel="0" collapsed="false">
      <c r="A7" s="1" t="n">
        <v>3</v>
      </c>
      <c r="B7" s="1" t="n">
        <v>100</v>
      </c>
      <c r="C7" s="1" t="n">
        <v>10001</v>
      </c>
      <c r="D7" s="1" t="n">
        <v>3</v>
      </c>
      <c r="E7" s="1" t="n">
        <v>10001</v>
      </c>
    </row>
    <row r="8" customFormat="false" ht="13.5" hidden="false" customHeight="true" outlineLevel="0" collapsed="false">
      <c r="A8" s="1" t="n">
        <v>4</v>
      </c>
      <c r="B8" s="1" t="n">
        <v>100</v>
      </c>
      <c r="C8" s="1" t="n">
        <v>10001</v>
      </c>
      <c r="D8" s="1" t="n">
        <v>4</v>
      </c>
      <c r="E8" s="1" t="n">
        <v>10001</v>
      </c>
    </row>
    <row r="9" customFormat="false" ht="13.5" hidden="false" customHeight="true" outlineLevel="0" collapsed="false">
      <c r="A9" s="1" t="n">
        <v>5</v>
      </c>
      <c r="B9" s="1" t="n">
        <v>100</v>
      </c>
      <c r="C9" s="1" t="n">
        <v>10001</v>
      </c>
      <c r="D9" s="1" t="n">
        <v>5</v>
      </c>
      <c r="E9" s="1" t="n">
        <v>10001</v>
      </c>
    </row>
    <row r="10" customFormat="false" ht="13.5" hidden="false" customHeight="true" outlineLevel="0" collapsed="false">
      <c r="A10" s="1" t="n">
        <v>6</v>
      </c>
      <c r="B10" s="1" t="n">
        <v>100</v>
      </c>
      <c r="C10" s="1" t="n">
        <v>10001</v>
      </c>
      <c r="D10" s="1" t="n">
        <v>6</v>
      </c>
      <c r="E10" s="1" t="n">
        <v>10001</v>
      </c>
    </row>
    <row r="11" customFormat="false" ht="13.5" hidden="false" customHeight="true" outlineLevel="0" collapsed="false">
      <c r="A11" s="1" t="n">
        <v>7</v>
      </c>
      <c r="B11" s="1" t="n">
        <v>100</v>
      </c>
      <c r="C11" s="1" t="n">
        <v>10001</v>
      </c>
      <c r="D11" s="1" t="n">
        <v>7</v>
      </c>
      <c r="E11" s="1" t="n">
        <v>10001</v>
      </c>
    </row>
    <row r="12" customFormat="false" ht="13.5" hidden="false" customHeight="true" outlineLevel="0" collapsed="false">
      <c r="A12" s="1" t="n">
        <v>8</v>
      </c>
      <c r="B12" s="1" t="n">
        <v>100</v>
      </c>
      <c r="C12" s="1" t="n">
        <v>10001</v>
      </c>
      <c r="D12" s="1" t="n">
        <v>8</v>
      </c>
      <c r="E12" s="1" t="n">
        <v>10001</v>
      </c>
    </row>
    <row r="13" customFormat="false" ht="13.5" hidden="false" customHeight="true" outlineLevel="0" collapsed="false">
      <c r="A13" s="1" t="n">
        <v>9</v>
      </c>
      <c r="B13" s="1" t="n">
        <v>100</v>
      </c>
      <c r="C13" s="1" t="n">
        <v>10001</v>
      </c>
      <c r="D13" s="1" t="n">
        <v>9</v>
      </c>
      <c r="E13" s="1" t="n">
        <v>10001</v>
      </c>
    </row>
    <row r="14" customFormat="false" ht="13.5" hidden="false" customHeight="true" outlineLevel="0" collapsed="false">
      <c r="A14" s="1" t="n">
        <v>10</v>
      </c>
      <c r="B14" s="1" t="n">
        <v>100</v>
      </c>
      <c r="C14" s="1" t="n">
        <v>10001</v>
      </c>
      <c r="D14" s="1" t="n">
        <v>10</v>
      </c>
      <c r="E14" s="1" t="n">
        <v>10001</v>
      </c>
    </row>
    <row r="15" customFormat="false" ht="13.5" hidden="false" customHeight="true" outlineLevel="0" collapsed="false">
      <c r="A15" s="1" t="s">
        <v>481</v>
      </c>
    </row>
  </sheetData>
  <conditionalFormatting sqref="C1:E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2" min="1" style="1" width="11.75"/>
  </cols>
  <sheetData>
    <row r="1" customFormat="false" ht="16.5" hidden="false" customHeight="true" outlineLevel="0" collapsed="false">
      <c r="A1" s="12" t="s">
        <v>482</v>
      </c>
      <c r="B1" s="12" t="s">
        <v>475</v>
      </c>
    </row>
    <row r="2" customFormat="false" ht="16.5" hidden="false" customHeight="true" outlineLevel="0" collapsed="false">
      <c r="A2" s="13" t="s">
        <v>483</v>
      </c>
      <c r="B2" s="13" t="s">
        <v>480</v>
      </c>
    </row>
    <row r="3" customFormat="false" ht="16.5" hidden="false" customHeight="true" outlineLevel="0" collapsed="false">
      <c r="A3" s="12" t="s">
        <v>315</v>
      </c>
      <c r="B3" s="12" t="s">
        <v>315</v>
      </c>
    </row>
    <row r="4" customFormat="false" ht="16.5" hidden="false" customHeight="true" outlineLevel="0" collapsed="false">
      <c r="A4" s="12"/>
      <c r="B4" s="12"/>
    </row>
    <row r="5" customFormat="false" ht="13.5" hidden="false" customHeight="true" outlineLevel="0" collapsed="false">
      <c r="A5" s="1" t="n">
        <v>5</v>
      </c>
      <c r="B5" s="1" t="n">
        <v>10001</v>
      </c>
    </row>
    <row r="6" customFormat="false" ht="13.5" hidden="false" customHeight="true" outlineLevel="0" collapsed="false">
      <c r="A6" s="1" t="n">
        <v>6</v>
      </c>
      <c r="B6" s="1" t="n">
        <v>10001</v>
      </c>
    </row>
    <row r="7" customFormat="false" ht="13.5" hidden="false" customHeight="true" outlineLevel="0" collapsed="false">
      <c r="A7" s="1" t="n">
        <v>7</v>
      </c>
      <c r="B7" s="1" t="n">
        <v>10001</v>
      </c>
    </row>
    <row r="8" customFormat="false" ht="13.5" hidden="false" customHeight="true" outlineLevel="0" collapsed="false">
      <c r="A8" s="1" t="n">
        <v>8</v>
      </c>
      <c r="B8" s="1" t="n">
        <v>10001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83"/>
    <col collapsed="false" customWidth="true" hidden="false" outlineLevel="0" max="2" min="2" style="1" width="11.75"/>
    <col collapsed="false" customWidth="true" hidden="false" outlineLevel="0" max="3" min="3" style="1" width="27.09"/>
    <col collapsed="false" customWidth="true" hidden="false" outlineLevel="0" max="4" min="4" style="1" width="44.25"/>
  </cols>
  <sheetData>
    <row r="1" customFormat="false" ht="16.5" hidden="false" customHeight="true" outlineLevel="0" collapsed="false">
      <c r="A1" s="12" t="s">
        <v>484</v>
      </c>
      <c r="B1" s="12" t="s">
        <v>485</v>
      </c>
      <c r="C1" s="12" t="s">
        <v>486</v>
      </c>
      <c r="D1" s="12" t="s">
        <v>487</v>
      </c>
    </row>
    <row r="2" customFormat="false" ht="16.5" hidden="false" customHeight="true" outlineLevel="0" collapsed="false">
      <c r="A2" s="13" t="s">
        <v>488</v>
      </c>
      <c r="B2" s="13" t="s">
        <v>489</v>
      </c>
      <c r="C2" s="13" t="s">
        <v>334</v>
      </c>
      <c r="D2" s="13" t="s">
        <v>490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</row>
    <row r="4" customFormat="false" ht="16.5" hidden="false" customHeight="true" outlineLevel="0" collapsed="false">
      <c r="A4" s="12"/>
      <c r="B4" s="12"/>
      <c r="C4" s="12"/>
      <c r="D4" s="12"/>
    </row>
    <row r="5" customFormat="false" ht="16.5" hidden="false" customHeight="true" outlineLevel="0" collapsed="false">
      <c r="A5" s="1" t="n">
        <v>1</v>
      </c>
      <c r="B5" s="1" t="s">
        <v>491</v>
      </c>
      <c r="C5" s="1" t="s">
        <v>492</v>
      </c>
      <c r="D5" s="1" t="s">
        <v>493</v>
      </c>
      <c r="E5" s="14"/>
      <c r="F5" s="14"/>
    </row>
    <row r="6" customFormat="false" ht="16.5" hidden="false" customHeight="true" outlineLevel="0" collapsed="false">
      <c r="A6" s="1" t="n">
        <v>2</v>
      </c>
      <c r="B6" s="1" t="s">
        <v>494</v>
      </c>
      <c r="C6" s="1" t="s">
        <v>495</v>
      </c>
      <c r="D6" s="1" t="s">
        <v>496</v>
      </c>
      <c r="E6" s="14"/>
      <c r="F6" s="14"/>
    </row>
    <row r="7" customFormat="false" ht="16.5" hidden="false" customHeight="true" outlineLevel="0" collapsed="false">
      <c r="A7" s="1" t="n">
        <v>3</v>
      </c>
      <c r="B7" s="1" t="s">
        <v>497</v>
      </c>
      <c r="C7" s="1" t="s">
        <v>498</v>
      </c>
      <c r="D7" s="1" t="s">
        <v>499</v>
      </c>
      <c r="E7" s="14"/>
      <c r="F7" s="14"/>
    </row>
    <row r="8" customFormat="false" ht="16.5" hidden="false" customHeight="true" outlineLevel="0" collapsed="false">
      <c r="A8" s="1" t="n">
        <v>4</v>
      </c>
      <c r="B8" s="1" t="s">
        <v>500</v>
      </c>
      <c r="C8" s="1" t="s">
        <v>492</v>
      </c>
      <c r="D8" s="1" t="s">
        <v>501</v>
      </c>
      <c r="E8" s="14"/>
      <c r="F8" s="14"/>
    </row>
    <row r="9" customFormat="false" ht="16.5" hidden="false" customHeight="true" outlineLevel="0" collapsed="false">
      <c r="A9" s="1" t="n">
        <v>5</v>
      </c>
      <c r="B9" s="1" t="s">
        <v>502</v>
      </c>
      <c r="C9" s="1" t="s">
        <v>492</v>
      </c>
      <c r="D9" s="1" t="s">
        <v>503</v>
      </c>
      <c r="E9" s="14"/>
      <c r="F9" s="14"/>
    </row>
  </sheetData>
  <conditionalFormatting sqref="C1:D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44" activeCellId="0" sqref="A4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2" min="1" style="10" width="12.83"/>
    <col collapsed="false" customWidth="true" hidden="false" outlineLevel="0" max="3" min="3" style="10" width="11.75"/>
    <col collapsed="false" customWidth="true" hidden="false" outlineLevel="0" max="4" min="4" style="10" width="22.25"/>
    <col collapsed="false" customWidth="true" hidden="false" outlineLevel="0" max="5" min="5" style="10" width="18.59"/>
    <col collapsed="false" customWidth="true" hidden="false" outlineLevel="0" max="6" min="6" style="10" width="21.75"/>
    <col collapsed="false" customWidth="true" hidden="false" outlineLevel="0" max="7" min="7" style="10" width="18.59"/>
    <col collapsed="false" customWidth="true" hidden="false" outlineLevel="0" max="8" min="8" style="10" width="19.5"/>
    <col collapsed="false" customWidth="true" hidden="false" outlineLevel="0" max="9" min="9" style="10" width="26"/>
    <col collapsed="false" customWidth="true" hidden="false" outlineLevel="0" max="10" min="10" style="10" width="24.33"/>
    <col collapsed="false" customWidth="true" hidden="false" outlineLevel="0" max="11" min="11" style="10" width="26"/>
    <col collapsed="false" customWidth="true" hidden="false" outlineLevel="0" max="12" min="12" style="10" width="24.33"/>
    <col collapsed="false" customWidth="true" hidden="false" outlineLevel="0" max="13" min="13" style="10" width="20.34"/>
    <col collapsed="false" customWidth="true" hidden="false" outlineLevel="0" max="14" min="14" style="10" width="21.84"/>
    <col collapsed="false" customWidth="true" hidden="false" outlineLevel="0" max="15" min="15" style="10" width="26.84"/>
    <col collapsed="false" customWidth="false" hidden="false" outlineLevel="0" max="16384" min="16" style="10" width="9"/>
  </cols>
  <sheetData>
    <row r="1" customFormat="false" ht="43.5" hidden="false" customHeight="true" outlineLevel="0" collapsed="false">
      <c r="A1" s="12" t="s">
        <v>504</v>
      </c>
      <c r="B1" s="12" t="s">
        <v>505</v>
      </c>
      <c r="C1" s="12" t="s">
        <v>506</v>
      </c>
      <c r="D1" s="12" t="s">
        <v>507</v>
      </c>
      <c r="E1" s="12" t="s">
        <v>508</v>
      </c>
      <c r="F1" s="12" t="s">
        <v>509</v>
      </c>
      <c r="G1" s="12" t="s">
        <v>510</v>
      </c>
      <c r="H1" s="12" t="s">
        <v>511</v>
      </c>
      <c r="I1" s="12" t="s">
        <v>512</v>
      </c>
      <c r="J1" s="12" t="s">
        <v>513</v>
      </c>
      <c r="K1" s="12" t="s">
        <v>514</v>
      </c>
      <c r="L1" s="12" t="s">
        <v>515</v>
      </c>
      <c r="M1" s="12" t="s">
        <v>516</v>
      </c>
      <c r="N1" s="12" t="s">
        <v>517</v>
      </c>
    </row>
    <row r="2" customFormat="false" ht="14.25" hidden="false" customHeight="true" outlineLevel="0" collapsed="false">
      <c r="A2" s="13" t="s">
        <v>518</v>
      </c>
      <c r="B2" s="13"/>
      <c r="C2" s="13" t="s">
        <v>425</v>
      </c>
      <c r="D2" s="13" t="s">
        <v>519</v>
      </c>
      <c r="E2" s="13" t="s">
        <v>520</v>
      </c>
      <c r="F2" s="13" t="s">
        <v>521</v>
      </c>
      <c r="G2" s="13" t="s">
        <v>522</v>
      </c>
      <c r="H2" s="13" t="s">
        <v>523</v>
      </c>
      <c r="I2" s="13" t="s">
        <v>524</v>
      </c>
      <c r="J2" s="13" t="s">
        <v>525</v>
      </c>
      <c r="K2" s="13" t="s">
        <v>526</v>
      </c>
      <c r="L2" s="13" t="s">
        <v>527</v>
      </c>
      <c r="M2" s="13" t="s">
        <v>528</v>
      </c>
      <c r="N2" s="13" t="s">
        <v>529</v>
      </c>
    </row>
    <row r="3" customFormat="false" ht="14.25" hidden="false" customHeight="true" outlineLevel="0" collapsed="false">
      <c r="A3" s="12" t="s">
        <v>530</v>
      </c>
      <c r="B3" s="12"/>
      <c r="C3" s="12" t="s">
        <v>531</v>
      </c>
      <c r="D3" s="12"/>
      <c r="E3" s="12"/>
      <c r="F3" s="12"/>
      <c r="G3" s="12" t="s">
        <v>315</v>
      </c>
      <c r="H3" s="12" t="s">
        <v>315</v>
      </c>
      <c r="I3" s="12" t="s">
        <v>315</v>
      </c>
      <c r="J3" s="12" t="s">
        <v>315</v>
      </c>
      <c r="K3" s="12" t="s">
        <v>315</v>
      </c>
      <c r="L3" s="12" t="s">
        <v>315</v>
      </c>
      <c r="M3" s="12"/>
      <c r="N3" s="12"/>
    </row>
    <row r="4" customFormat="false" ht="14.2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 t="n">
        <v>27000</v>
      </c>
      <c r="J4" s="12" t="n">
        <v>0</v>
      </c>
      <c r="K4" s="12" t="n">
        <v>24002</v>
      </c>
      <c r="L4" s="12" t="n">
        <v>0</v>
      </c>
      <c r="M4" s="12"/>
      <c r="N4" s="12"/>
    </row>
    <row r="5" s="19" customFormat="true" ht="55.5" hidden="false" customHeight="true" outlineLevel="0" collapsed="false">
      <c r="A5" s="19" t="n">
        <v>4901</v>
      </c>
      <c r="B5" s="19" t="s">
        <v>532</v>
      </c>
      <c r="C5" s="19" t="n">
        <v>1</v>
      </c>
      <c r="D5" s="19" t="s">
        <v>532</v>
      </c>
      <c r="E5" s="20" t="s">
        <v>533</v>
      </c>
      <c r="F5" s="19" t="s">
        <v>534</v>
      </c>
      <c r="G5" s="19" t="n">
        <v>0</v>
      </c>
      <c r="H5" s="19" t="n">
        <v>0</v>
      </c>
      <c r="J5" s="19" t="n">
        <v>0</v>
      </c>
      <c r="L5" s="19" t="n">
        <v>150</v>
      </c>
      <c r="M5" s="19" t="n">
        <v>0.001</v>
      </c>
    </row>
    <row r="6" s="19" customFormat="true" ht="13.5" hidden="false" customHeight="true" outlineLevel="0" collapsed="false">
      <c r="A6" s="19" t="n">
        <v>4901</v>
      </c>
      <c r="B6" s="19" t="s">
        <v>532</v>
      </c>
      <c r="C6" s="19" t="n">
        <v>2</v>
      </c>
      <c r="G6" s="19" t="n">
        <v>0</v>
      </c>
      <c r="H6" s="19" t="n">
        <v>0</v>
      </c>
      <c r="J6" s="19" t="n">
        <v>0</v>
      </c>
      <c r="L6" s="19" t="n">
        <v>270</v>
      </c>
      <c r="M6" s="19" t="n">
        <v>0.002</v>
      </c>
    </row>
    <row r="7" s="19" customFormat="true" ht="13.5" hidden="false" customHeight="true" outlineLevel="0" collapsed="false">
      <c r="A7" s="19" t="n">
        <v>4901</v>
      </c>
      <c r="B7" s="19" t="s">
        <v>532</v>
      </c>
      <c r="C7" s="19" t="n">
        <v>3</v>
      </c>
      <c r="G7" s="19" t="n">
        <v>0</v>
      </c>
      <c r="H7" s="19" t="n">
        <v>0</v>
      </c>
      <c r="J7" s="19" t="n">
        <v>0</v>
      </c>
      <c r="L7" s="19" t="n">
        <v>420</v>
      </c>
      <c r="M7" s="19" t="n">
        <v>0.003</v>
      </c>
    </row>
    <row r="8" s="19" customFormat="true" ht="13.5" hidden="false" customHeight="true" outlineLevel="0" collapsed="false">
      <c r="A8" s="19" t="n">
        <v>4901</v>
      </c>
      <c r="B8" s="19" t="s">
        <v>532</v>
      </c>
      <c r="C8" s="19" t="n">
        <v>4</v>
      </c>
      <c r="G8" s="19" t="n">
        <v>0</v>
      </c>
      <c r="H8" s="19" t="n">
        <v>0</v>
      </c>
      <c r="J8" s="19" t="n">
        <v>0</v>
      </c>
      <c r="L8" s="19" t="n">
        <v>660</v>
      </c>
      <c r="M8" s="19" t="n">
        <v>0.004</v>
      </c>
    </row>
    <row r="9" s="19" customFormat="true" ht="13.5" hidden="false" customHeight="true" outlineLevel="0" collapsed="false">
      <c r="A9" s="19" t="n">
        <v>4901</v>
      </c>
      <c r="B9" s="19" t="s">
        <v>532</v>
      </c>
      <c r="C9" s="19" t="n">
        <v>5</v>
      </c>
      <c r="G9" s="19" t="n">
        <v>0</v>
      </c>
      <c r="H9" s="19" t="n">
        <v>0</v>
      </c>
      <c r="J9" s="19" t="n">
        <v>0</v>
      </c>
      <c r="L9" s="19" t="n">
        <v>870</v>
      </c>
      <c r="M9" s="19" t="n">
        <v>0.005</v>
      </c>
    </row>
    <row r="10" s="19" customFormat="true" ht="13.5" hidden="false" customHeight="true" outlineLevel="0" collapsed="false">
      <c r="A10" s="19" t="n">
        <v>4901</v>
      </c>
      <c r="B10" s="19" t="s">
        <v>532</v>
      </c>
      <c r="C10" s="19" t="n">
        <v>6</v>
      </c>
      <c r="G10" s="19" t="n">
        <v>0</v>
      </c>
      <c r="H10" s="19" t="n">
        <v>0</v>
      </c>
      <c r="J10" s="19" t="n">
        <v>0</v>
      </c>
      <c r="L10" s="19" t="n">
        <v>1170</v>
      </c>
      <c r="M10" s="19" t="n">
        <v>0.006</v>
      </c>
    </row>
    <row r="11" s="19" customFormat="true" ht="13.5" hidden="false" customHeight="true" outlineLevel="0" collapsed="false">
      <c r="A11" s="19" t="n">
        <v>4901</v>
      </c>
      <c r="B11" s="19" t="s">
        <v>532</v>
      </c>
      <c r="C11" s="19" t="n">
        <v>7</v>
      </c>
      <c r="G11" s="19" t="n">
        <v>0</v>
      </c>
      <c r="H11" s="19" t="n">
        <v>0</v>
      </c>
      <c r="J11" s="19" t="n">
        <v>0</v>
      </c>
      <c r="L11" s="19" t="n">
        <v>1530</v>
      </c>
      <c r="M11" s="19" t="n">
        <v>0.007</v>
      </c>
    </row>
    <row r="12" s="19" customFormat="true" ht="13.5" hidden="false" customHeight="true" outlineLevel="0" collapsed="false">
      <c r="A12" s="19" t="n">
        <v>4901</v>
      </c>
      <c r="B12" s="19" t="s">
        <v>532</v>
      </c>
      <c r="C12" s="19" t="n">
        <v>8</v>
      </c>
      <c r="G12" s="19" t="n">
        <v>0</v>
      </c>
      <c r="H12" s="19" t="n">
        <v>0</v>
      </c>
      <c r="J12" s="19" t="n">
        <v>0</v>
      </c>
      <c r="L12" s="19" t="n">
        <v>1980</v>
      </c>
      <c r="M12" s="19" t="n">
        <v>0.008</v>
      </c>
    </row>
    <row r="13" s="19" customFormat="true" ht="13.5" hidden="false" customHeight="true" outlineLevel="0" collapsed="false">
      <c r="A13" s="19" t="n">
        <v>4901</v>
      </c>
      <c r="B13" s="19" t="s">
        <v>532</v>
      </c>
      <c r="C13" s="19" t="n">
        <v>9</v>
      </c>
      <c r="G13" s="19" t="n">
        <v>0</v>
      </c>
      <c r="H13" s="19" t="n">
        <v>0</v>
      </c>
      <c r="J13" s="19" t="n">
        <v>0</v>
      </c>
      <c r="L13" s="19" t="n">
        <v>2550</v>
      </c>
      <c r="M13" s="19" t="n">
        <v>0.009</v>
      </c>
    </row>
    <row r="14" s="19" customFormat="true" ht="13.5" hidden="false" customHeight="true" outlineLevel="0" collapsed="false">
      <c r="A14" s="19" t="n">
        <v>4901</v>
      </c>
      <c r="B14" s="19" t="s">
        <v>532</v>
      </c>
      <c r="C14" s="19" t="n">
        <v>10</v>
      </c>
      <c r="G14" s="19" t="n">
        <v>0</v>
      </c>
      <c r="H14" s="19" t="n">
        <v>0</v>
      </c>
      <c r="J14" s="19" t="n">
        <v>0</v>
      </c>
      <c r="L14" s="19" t="n">
        <v>3180</v>
      </c>
      <c r="M14" s="19" t="n">
        <v>0.01</v>
      </c>
    </row>
    <row r="15" s="19" customFormat="true" ht="13.5" hidden="false" customHeight="true" outlineLevel="0" collapsed="false">
      <c r="A15" s="19" t="n">
        <v>4901</v>
      </c>
      <c r="B15" s="19" t="s">
        <v>532</v>
      </c>
      <c r="C15" s="19" t="n">
        <v>11</v>
      </c>
      <c r="G15" s="19" t="n">
        <v>0</v>
      </c>
      <c r="H15" s="19" t="n">
        <v>1</v>
      </c>
      <c r="J15" s="19" t="n">
        <v>0</v>
      </c>
      <c r="L15" s="19" t="n">
        <v>4020</v>
      </c>
      <c r="M15" s="19" t="n">
        <v>0.011</v>
      </c>
    </row>
    <row r="16" s="19" customFormat="true" ht="13.5" hidden="false" customHeight="true" outlineLevel="0" collapsed="false">
      <c r="A16" s="19" t="n">
        <v>4901</v>
      </c>
      <c r="B16" s="19" t="s">
        <v>532</v>
      </c>
      <c r="C16" s="19" t="n">
        <v>12</v>
      </c>
      <c r="G16" s="19" t="n">
        <v>0</v>
      </c>
      <c r="H16" s="19" t="n">
        <v>2</v>
      </c>
      <c r="J16" s="19" t="n">
        <v>0</v>
      </c>
      <c r="L16" s="19" t="n">
        <v>4980</v>
      </c>
      <c r="M16" s="19" t="n">
        <v>0.012</v>
      </c>
    </row>
    <row r="17" s="19" customFormat="true" ht="13.5" hidden="false" customHeight="true" outlineLevel="0" collapsed="false">
      <c r="A17" s="19" t="n">
        <v>4901</v>
      </c>
      <c r="B17" s="19" t="s">
        <v>532</v>
      </c>
      <c r="C17" s="19" t="n">
        <v>13</v>
      </c>
      <c r="G17" s="19" t="n">
        <v>0</v>
      </c>
      <c r="H17" s="19" t="n">
        <v>3</v>
      </c>
      <c r="J17" s="19" t="n">
        <v>0</v>
      </c>
      <c r="L17" s="19" t="n">
        <v>6120</v>
      </c>
      <c r="M17" s="19" t="n">
        <v>0.013</v>
      </c>
    </row>
    <row r="18" s="19" customFormat="true" ht="13.5" hidden="false" customHeight="true" outlineLevel="0" collapsed="false">
      <c r="A18" s="19" t="n">
        <v>4901</v>
      </c>
      <c r="B18" s="19" t="s">
        <v>532</v>
      </c>
      <c r="C18" s="19" t="n">
        <v>14</v>
      </c>
      <c r="G18" s="19" t="n">
        <v>0</v>
      </c>
      <c r="H18" s="19" t="n">
        <v>4</v>
      </c>
      <c r="J18" s="19" t="n">
        <v>0</v>
      </c>
      <c r="L18" s="19" t="n">
        <v>7470</v>
      </c>
      <c r="M18" s="19" t="n">
        <v>0.014</v>
      </c>
    </row>
    <row r="19" s="19" customFormat="true" ht="13.5" hidden="false" customHeight="true" outlineLevel="0" collapsed="false">
      <c r="A19" s="19" t="n">
        <v>4901</v>
      </c>
      <c r="B19" s="19" t="s">
        <v>532</v>
      </c>
      <c r="C19" s="19" t="n">
        <v>15</v>
      </c>
      <c r="G19" s="19" t="n">
        <v>0</v>
      </c>
      <c r="H19" s="19" t="n">
        <v>5</v>
      </c>
      <c r="J19" s="19" t="n">
        <v>0</v>
      </c>
      <c r="L19" s="19" t="n">
        <v>9030</v>
      </c>
      <c r="M19" s="19" t="n">
        <v>0.015</v>
      </c>
    </row>
    <row r="20" s="19" customFormat="true" ht="13.5" hidden="false" customHeight="true" outlineLevel="0" collapsed="false">
      <c r="A20" s="19" t="n">
        <v>4901</v>
      </c>
      <c r="B20" s="19" t="s">
        <v>532</v>
      </c>
      <c r="C20" s="19" t="n">
        <v>16</v>
      </c>
      <c r="G20" s="19" t="n">
        <v>0</v>
      </c>
      <c r="H20" s="19" t="n">
        <v>6</v>
      </c>
      <c r="J20" s="19" t="n">
        <v>0</v>
      </c>
      <c r="L20" s="19" t="n">
        <v>10848</v>
      </c>
      <c r="M20" s="19" t="n">
        <v>0.016</v>
      </c>
    </row>
    <row r="21" s="19" customFormat="true" ht="13.5" hidden="false" customHeight="true" outlineLevel="0" collapsed="false">
      <c r="A21" s="19" t="n">
        <v>4901</v>
      </c>
      <c r="B21" s="19" t="s">
        <v>532</v>
      </c>
      <c r="C21" s="19" t="n">
        <v>17</v>
      </c>
      <c r="G21" s="19" t="n">
        <v>0</v>
      </c>
      <c r="H21" s="19" t="n">
        <v>7</v>
      </c>
      <c r="J21" s="19" t="n">
        <v>0</v>
      </c>
      <c r="L21" s="19" t="n">
        <v>10860</v>
      </c>
      <c r="M21" s="19" t="n">
        <v>0.017</v>
      </c>
    </row>
    <row r="22" s="19" customFormat="true" ht="13.5" hidden="false" customHeight="true" outlineLevel="0" collapsed="false">
      <c r="A22" s="19" t="n">
        <v>4901</v>
      </c>
      <c r="B22" s="19" t="s">
        <v>532</v>
      </c>
      <c r="C22" s="19" t="n">
        <v>18</v>
      </c>
      <c r="G22" s="19" t="n">
        <v>0</v>
      </c>
      <c r="H22" s="19" t="n">
        <v>8</v>
      </c>
      <c r="J22" s="19" t="n">
        <v>0</v>
      </c>
      <c r="L22" s="19" t="n">
        <v>12930</v>
      </c>
      <c r="M22" s="19" t="n">
        <v>0.018</v>
      </c>
    </row>
    <row r="23" s="19" customFormat="true" ht="13.5" hidden="false" customHeight="true" outlineLevel="0" collapsed="false">
      <c r="A23" s="19" t="n">
        <v>4901</v>
      </c>
      <c r="B23" s="19" t="s">
        <v>532</v>
      </c>
      <c r="C23" s="19" t="n">
        <v>19</v>
      </c>
      <c r="G23" s="19" t="n">
        <v>0</v>
      </c>
      <c r="H23" s="19" t="n">
        <v>9</v>
      </c>
      <c r="J23" s="19" t="n">
        <v>0</v>
      </c>
      <c r="L23" s="19" t="n">
        <v>13128</v>
      </c>
      <c r="M23" s="19" t="n">
        <v>0.019</v>
      </c>
    </row>
    <row r="24" s="19" customFormat="true" ht="13.5" hidden="false" customHeight="true" outlineLevel="0" collapsed="false">
      <c r="A24" s="19" t="n">
        <v>4901</v>
      </c>
      <c r="B24" s="19" t="s">
        <v>532</v>
      </c>
      <c r="C24" s="19" t="n">
        <v>20</v>
      </c>
      <c r="G24" s="19" t="n">
        <v>0</v>
      </c>
      <c r="H24" s="19" t="n">
        <v>10</v>
      </c>
      <c r="J24" s="19" t="n">
        <v>0</v>
      </c>
      <c r="L24" s="19" t="n">
        <v>15048</v>
      </c>
      <c r="M24" s="19" t="n">
        <v>0.02</v>
      </c>
    </row>
    <row r="25" s="19" customFormat="true" ht="13.5" hidden="false" customHeight="true" outlineLevel="0" collapsed="false">
      <c r="A25" s="19" t="n">
        <v>4901</v>
      </c>
      <c r="B25" s="19" t="s">
        <v>532</v>
      </c>
      <c r="C25" s="19" t="n">
        <v>21</v>
      </c>
      <c r="G25" s="19" t="n">
        <v>0</v>
      </c>
      <c r="H25" s="19" t="n">
        <v>11</v>
      </c>
      <c r="J25" s="19" t="n">
        <v>2</v>
      </c>
      <c r="L25" s="19" t="n">
        <v>15330</v>
      </c>
      <c r="M25" s="19" t="n">
        <v>0.021</v>
      </c>
    </row>
    <row r="26" s="19" customFormat="true" ht="13.5" hidden="false" customHeight="true" outlineLevel="0" collapsed="false">
      <c r="A26" s="19" t="n">
        <v>4901</v>
      </c>
      <c r="B26" s="19" t="s">
        <v>532</v>
      </c>
      <c r="C26" s="19" t="n">
        <v>22</v>
      </c>
      <c r="G26" s="19" t="n">
        <v>0</v>
      </c>
      <c r="H26" s="19" t="n">
        <v>12</v>
      </c>
      <c r="J26" s="19" t="n">
        <v>2</v>
      </c>
      <c r="L26" s="19" t="n">
        <v>17184</v>
      </c>
      <c r="M26" s="19" t="n">
        <v>0.022</v>
      </c>
    </row>
    <row r="27" s="19" customFormat="true" ht="13.5" hidden="false" customHeight="true" outlineLevel="0" collapsed="false">
      <c r="A27" s="19" t="n">
        <v>4901</v>
      </c>
      <c r="B27" s="19" t="s">
        <v>532</v>
      </c>
      <c r="C27" s="19" t="n">
        <v>23</v>
      </c>
      <c r="G27" s="19" t="n">
        <v>0</v>
      </c>
      <c r="H27" s="19" t="n">
        <v>13</v>
      </c>
      <c r="J27" s="19" t="n">
        <v>2</v>
      </c>
      <c r="L27" s="19" t="n">
        <v>18090</v>
      </c>
      <c r="M27" s="19" t="n">
        <v>0.023</v>
      </c>
    </row>
    <row r="28" s="19" customFormat="true" ht="13.5" hidden="false" customHeight="true" outlineLevel="0" collapsed="false">
      <c r="A28" s="19" t="n">
        <v>4901</v>
      </c>
      <c r="B28" s="19" t="s">
        <v>532</v>
      </c>
      <c r="C28" s="19" t="n">
        <v>24</v>
      </c>
      <c r="G28" s="19" t="n">
        <v>0</v>
      </c>
      <c r="H28" s="19" t="n">
        <v>14</v>
      </c>
      <c r="J28" s="19" t="n">
        <v>2</v>
      </c>
      <c r="L28" s="19" t="n">
        <v>19536</v>
      </c>
      <c r="M28" s="19" t="n">
        <v>0.024</v>
      </c>
    </row>
    <row r="29" s="19" customFormat="true" ht="13.5" hidden="false" customHeight="true" outlineLevel="0" collapsed="false">
      <c r="A29" s="19" t="n">
        <v>4901</v>
      </c>
      <c r="B29" s="19" t="s">
        <v>532</v>
      </c>
      <c r="C29" s="19" t="n">
        <v>25</v>
      </c>
      <c r="G29" s="19" t="n">
        <v>0</v>
      </c>
      <c r="H29" s="19" t="n">
        <v>15</v>
      </c>
      <c r="J29" s="19" t="n">
        <v>2</v>
      </c>
      <c r="L29" s="19" t="n">
        <v>21120</v>
      </c>
      <c r="M29" s="19" t="n">
        <v>0.025</v>
      </c>
    </row>
    <row r="30" s="19" customFormat="true" ht="13.5" hidden="false" customHeight="true" outlineLevel="0" collapsed="false">
      <c r="A30" s="19" t="n">
        <v>4901</v>
      </c>
      <c r="B30" s="19" t="s">
        <v>532</v>
      </c>
      <c r="C30" s="19" t="n">
        <v>26</v>
      </c>
      <c r="G30" s="19" t="n">
        <v>0</v>
      </c>
      <c r="H30" s="19" t="n">
        <v>16</v>
      </c>
      <c r="J30" s="19" t="n">
        <v>2</v>
      </c>
      <c r="L30" s="19" t="n">
        <v>22128</v>
      </c>
      <c r="M30" s="19" t="n">
        <v>0.026</v>
      </c>
    </row>
    <row r="31" s="19" customFormat="true" ht="13.5" hidden="false" customHeight="true" outlineLevel="0" collapsed="false">
      <c r="A31" s="19" t="n">
        <v>4901</v>
      </c>
      <c r="B31" s="19" t="s">
        <v>532</v>
      </c>
      <c r="C31" s="19" t="n">
        <v>27</v>
      </c>
      <c r="G31" s="19" t="n">
        <v>0</v>
      </c>
      <c r="H31" s="19" t="n">
        <v>17</v>
      </c>
      <c r="J31" s="19" t="n">
        <v>2</v>
      </c>
      <c r="L31" s="19" t="n">
        <v>24972</v>
      </c>
      <c r="M31" s="19" t="n">
        <v>0.027</v>
      </c>
    </row>
    <row r="32" s="19" customFormat="true" ht="13.5" hidden="false" customHeight="true" outlineLevel="0" collapsed="false">
      <c r="A32" s="19" t="n">
        <v>4901</v>
      </c>
      <c r="B32" s="19" t="s">
        <v>532</v>
      </c>
      <c r="C32" s="19" t="n">
        <v>28</v>
      </c>
      <c r="G32" s="19" t="n">
        <v>0</v>
      </c>
      <c r="H32" s="19" t="n">
        <v>18</v>
      </c>
      <c r="J32" s="19" t="n">
        <v>2</v>
      </c>
      <c r="L32" s="19" t="n">
        <v>28068</v>
      </c>
      <c r="M32" s="19" t="n">
        <v>0.028</v>
      </c>
    </row>
    <row r="33" s="19" customFormat="true" ht="13.5" hidden="false" customHeight="true" outlineLevel="0" collapsed="false">
      <c r="A33" s="19" t="n">
        <v>4901</v>
      </c>
      <c r="B33" s="19" t="s">
        <v>532</v>
      </c>
      <c r="C33" s="19" t="n">
        <v>29</v>
      </c>
      <c r="G33" s="19" t="n">
        <v>0</v>
      </c>
      <c r="H33" s="19" t="n">
        <v>19</v>
      </c>
      <c r="J33" s="19" t="n">
        <v>2</v>
      </c>
      <c r="L33" s="19" t="n">
        <v>31464</v>
      </c>
      <c r="M33" s="19" t="n">
        <v>0.029</v>
      </c>
    </row>
    <row r="34" s="19" customFormat="true" ht="13.5" hidden="false" customHeight="true" outlineLevel="0" collapsed="false">
      <c r="A34" s="19" t="n">
        <v>4901</v>
      </c>
      <c r="B34" s="19" t="s">
        <v>532</v>
      </c>
      <c r="C34" s="19" t="n">
        <v>30</v>
      </c>
      <c r="G34" s="19" t="n">
        <v>0</v>
      </c>
      <c r="H34" s="19" t="n">
        <v>20</v>
      </c>
      <c r="J34" s="19" t="n">
        <v>2</v>
      </c>
      <c r="L34" s="19" t="n">
        <v>35148</v>
      </c>
      <c r="M34" s="19" t="n">
        <v>0.03</v>
      </c>
    </row>
    <row r="35" s="19" customFormat="true" ht="13.5" hidden="false" customHeight="true" outlineLevel="0" collapsed="false">
      <c r="A35" s="19" t="n">
        <v>4901</v>
      </c>
      <c r="B35" s="19" t="s">
        <v>532</v>
      </c>
      <c r="C35" s="19" t="n">
        <v>31</v>
      </c>
      <c r="G35" s="19" t="n">
        <v>0</v>
      </c>
      <c r="H35" s="19" t="n">
        <v>21</v>
      </c>
      <c r="J35" s="19" t="n">
        <v>2</v>
      </c>
      <c r="L35" s="19" t="n">
        <v>39144</v>
      </c>
      <c r="M35" s="19" t="n">
        <v>0.031</v>
      </c>
    </row>
    <row r="36" s="19" customFormat="true" ht="13.5" hidden="false" customHeight="true" outlineLevel="0" collapsed="false">
      <c r="A36" s="19" t="n">
        <v>4901</v>
      </c>
      <c r="B36" s="19" t="s">
        <v>532</v>
      </c>
      <c r="C36" s="19" t="n">
        <v>32</v>
      </c>
      <c r="G36" s="19" t="n">
        <v>0</v>
      </c>
      <c r="H36" s="19" t="n">
        <v>22</v>
      </c>
      <c r="J36" s="19" t="n">
        <v>2</v>
      </c>
      <c r="L36" s="19" t="n">
        <v>43464</v>
      </c>
      <c r="M36" s="19" t="n">
        <v>0.032</v>
      </c>
    </row>
    <row r="37" s="19" customFormat="true" ht="13.5" hidden="false" customHeight="true" outlineLevel="0" collapsed="false">
      <c r="A37" s="19" t="n">
        <v>4901</v>
      </c>
      <c r="B37" s="19" t="s">
        <v>532</v>
      </c>
      <c r="C37" s="19" t="n">
        <v>33</v>
      </c>
      <c r="G37" s="19" t="n">
        <v>0</v>
      </c>
      <c r="H37" s="19" t="n">
        <v>23</v>
      </c>
      <c r="J37" s="19" t="n">
        <v>2</v>
      </c>
      <c r="L37" s="19" t="n">
        <v>48156</v>
      </c>
      <c r="M37" s="19" t="n">
        <v>0.033</v>
      </c>
    </row>
    <row r="38" s="19" customFormat="true" ht="13.5" hidden="false" customHeight="true" outlineLevel="0" collapsed="false">
      <c r="A38" s="19" t="n">
        <v>4901</v>
      </c>
      <c r="B38" s="19" t="s">
        <v>532</v>
      </c>
      <c r="C38" s="19" t="n">
        <v>34</v>
      </c>
      <c r="G38" s="19" t="n">
        <v>0</v>
      </c>
      <c r="H38" s="19" t="n">
        <v>24</v>
      </c>
      <c r="J38" s="19" t="n">
        <v>2</v>
      </c>
      <c r="L38" s="19" t="n">
        <v>50232</v>
      </c>
      <c r="M38" s="19" t="n">
        <v>0.034</v>
      </c>
    </row>
    <row r="39" s="19" customFormat="true" ht="13.5" hidden="false" customHeight="true" outlineLevel="0" collapsed="false">
      <c r="A39" s="19" t="n">
        <v>4901</v>
      </c>
      <c r="B39" s="19" t="s">
        <v>532</v>
      </c>
      <c r="C39" s="19" t="n">
        <v>35</v>
      </c>
      <c r="G39" s="19" t="n">
        <v>0</v>
      </c>
      <c r="H39" s="19" t="n">
        <v>25</v>
      </c>
      <c r="J39" s="19" t="n">
        <v>2</v>
      </c>
      <c r="L39" s="19" t="n">
        <v>53196</v>
      </c>
      <c r="M39" s="19" t="n">
        <v>0.035</v>
      </c>
    </row>
    <row r="40" s="19" customFormat="true" ht="13.5" hidden="false" customHeight="true" outlineLevel="0" collapsed="false">
      <c r="A40" s="19" t="n">
        <v>4901</v>
      </c>
      <c r="B40" s="19" t="s">
        <v>532</v>
      </c>
      <c r="C40" s="19" t="n">
        <v>36</v>
      </c>
      <c r="G40" s="19" t="n">
        <v>0</v>
      </c>
      <c r="H40" s="19" t="n">
        <v>26</v>
      </c>
      <c r="J40" s="19" t="n">
        <v>2</v>
      </c>
      <c r="L40" s="19" t="n">
        <v>54576</v>
      </c>
      <c r="M40" s="19" t="n">
        <v>0.036</v>
      </c>
    </row>
    <row r="41" s="19" customFormat="true" ht="13.5" hidden="false" customHeight="true" outlineLevel="0" collapsed="false">
      <c r="A41" s="19" t="n">
        <v>4901</v>
      </c>
      <c r="B41" s="19" t="s">
        <v>532</v>
      </c>
      <c r="C41" s="19" t="n">
        <v>37</v>
      </c>
      <c r="G41" s="19" t="n">
        <v>0</v>
      </c>
      <c r="H41" s="19" t="n">
        <v>27</v>
      </c>
      <c r="J41" s="19" t="n">
        <v>2</v>
      </c>
      <c r="L41" s="19" t="n">
        <v>58644</v>
      </c>
      <c r="M41" s="19" t="n">
        <v>0.037</v>
      </c>
    </row>
    <row r="42" s="19" customFormat="true" ht="13.5" hidden="false" customHeight="true" outlineLevel="0" collapsed="false">
      <c r="A42" s="19" t="n">
        <v>4901</v>
      </c>
      <c r="B42" s="19" t="s">
        <v>532</v>
      </c>
      <c r="C42" s="19" t="n">
        <v>38</v>
      </c>
      <c r="G42" s="19" t="n">
        <v>0</v>
      </c>
      <c r="H42" s="19" t="n">
        <v>28</v>
      </c>
      <c r="J42" s="19" t="n">
        <v>2</v>
      </c>
      <c r="L42" s="19" t="n">
        <v>59202</v>
      </c>
      <c r="M42" s="19" t="n">
        <v>0.038</v>
      </c>
    </row>
    <row r="43" s="19" customFormat="true" ht="13.5" hidden="false" customHeight="true" outlineLevel="0" collapsed="false">
      <c r="A43" s="19" t="n">
        <v>4901</v>
      </c>
      <c r="B43" s="19" t="s">
        <v>532</v>
      </c>
      <c r="C43" s="19" t="n">
        <v>39</v>
      </c>
      <c r="G43" s="19" t="n">
        <v>0</v>
      </c>
      <c r="H43" s="19" t="n">
        <v>29</v>
      </c>
      <c r="J43" s="19" t="n">
        <v>2</v>
      </c>
      <c r="L43" s="19" t="n">
        <v>64116</v>
      </c>
      <c r="M43" s="19" t="n">
        <v>0.039</v>
      </c>
    </row>
    <row r="44" s="19" customFormat="true" ht="13.5" hidden="false" customHeight="true" outlineLevel="0" collapsed="false">
      <c r="A44" s="19" t="n">
        <v>4901</v>
      </c>
      <c r="B44" s="19" t="s">
        <v>532</v>
      </c>
      <c r="C44" s="19" t="n">
        <v>40</v>
      </c>
      <c r="G44" s="19" t="n">
        <v>0</v>
      </c>
      <c r="H44" s="19" t="n">
        <v>30</v>
      </c>
      <c r="J44" s="19" t="n">
        <v>2</v>
      </c>
      <c r="L44" s="19" t="n">
        <v>64404</v>
      </c>
      <c r="M44" s="19" t="n">
        <v>0.04</v>
      </c>
    </row>
    <row r="45" s="19" customFormat="true" ht="13.5" hidden="false" customHeight="true" outlineLevel="0" collapsed="false">
      <c r="A45" s="19" t="n">
        <v>4901</v>
      </c>
      <c r="B45" s="19" t="s">
        <v>532</v>
      </c>
      <c r="C45" s="19" t="n">
        <v>41</v>
      </c>
      <c r="G45" s="19" t="n">
        <v>0</v>
      </c>
      <c r="H45" s="19" t="n">
        <v>31</v>
      </c>
      <c r="J45" s="19" t="n">
        <v>6</v>
      </c>
      <c r="L45" s="19" t="n">
        <v>69324</v>
      </c>
      <c r="M45" s="19" t="n">
        <v>0.041</v>
      </c>
    </row>
    <row r="46" s="19" customFormat="true" ht="13.5" hidden="false" customHeight="true" outlineLevel="0" collapsed="false">
      <c r="A46" s="19" t="n">
        <v>4901</v>
      </c>
      <c r="B46" s="19" t="s">
        <v>532</v>
      </c>
      <c r="C46" s="19" t="n">
        <v>42</v>
      </c>
      <c r="G46" s="19" t="n">
        <v>0</v>
      </c>
      <c r="H46" s="19" t="n">
        <v>32</v>
      </c>
      <c r="J46" s="19" t="n">
        <v>12</v>
      </c>
      <c r="L46" s="19" t="n">
        <v>70752</v>
      </c>
      <c r="M46" s="19" t="n">
        <v>0.042</v>
      </c>
    </row>
    <row r="47" s="19" customFormat="true" ht="13.5" hidden="false" customHeight="true" outlineLevel="0" collapsed="false">
      <c r="A47" s="19" t="n">
        <v>4901</v>
      </c>
      <c r="B47" s="19" t="s">
        <v>532</v>
      </c>
      <c r="C47" s="19" t="n">
        <v>43</v>
      </c>
      <c r="G47" s="19" t="n">
        <v>0</v>
      </c>
      <c r="H47" s="19" t="n">
        <v>33</v>
      </c>
      <c r="J47" s="19" t="n">
        <v>18</v>
      </c>
      <c r="L47" s="19" t="n">
        <v>74844</v>
      </c>
      <c r="M47" s="19" t="n">
        <v>0.043</v>
      </c>
    </row>
    <row r="48" s="19" customFormat="true" ht="13.5" hidden="false" customHeight="true" outlineLevel="0" collapsed="false">
      <c r="A48" s="19" t="n">
        <v>4901</v>
      </c>
      <c r="B48" s="19" t="s">
        <v>532</v>
      </c>
      <c r="C48" s="19" t="n">
        <v>44</v>
      </c>
      <c r="G48" s="19" t="n">
        <v>0</v>
      </c>
      <c r="H48" s="19" t="n">
        <v>34</v>
      </c>
      <c r="J48" s="19" t="n">
        <v>24</v>
      </c>
      <c r="L48" s="19" t="n">
        <v>77448</v>
      </c>
      <c r="M48" s="19" t="n">
        <v>0.044</v>
      </c>
    </row>
    <row r="49" s="19" customFormat="true" ht="13.5" hidden="false" customHeight="true" outlineLevel="0" collapsed="false">
      <c r="A49" s="19" t="n">
        <v>4901</v>
      </c>
      <c r="B49" s="19" t="s">
        <v>532</v>
      </c>
      <c r="C49" s="19" t="n">
        <v>45</v>
      </c>
      <c r="G49" s="19" t="n">
        <v>0</v>
      </c>
      <c r="H49" s="19" t="n">
        <v>35</v>
      </c>
      <c r="J49" s="19" t="n">
        <v>30</v>
      </c>
      <c r="L49" s="19" t="n">
        <v>80682</v>
      </c>
      <c r="M49" s="19" t="n">
        <v>0.045</v>
      </c>
    </row>
    <row r="50" s="19" customFormat="true" ht="13.5" hidden="false" customHeight="true" outlineLevel="0" collapsed="false">
      <c r="A50" s="19" t="n">
        <v>4901</v>
      </c>
      <c r="B50" s="19" t="s">
        <v>532</v>
      </c>
      <c r="C50" s="19" t="n">
        <v>46</v>
      </c>
      <c r="G50" s="19" t="n">
        <v>0</v>
      </c>
      <c r="H50" s="19" t="n">
        <v>36</v>
      </c>
      <c r="J50" s="19" t="n">
        <v>36</v>
      </c>
      <c r="L50" s="19" t="n">
        <v>84624</v>
      </c>
      <c r="M50" s="19" t="n">
        <v>0.046</v>
      </c>
    </row>
    <row r="51" s="19" customFormat="true" ht="13.5" hidden="false" customHeight="true" outlineLevel="0" collapsed="false">
      <c r="A51" s="19" t="n">
        <v>4901</v>
      </c>
      <c r="B51" s="19" t="s">
        <v>532</v>
      </c>
      <c r="C51" s="19" t="n">
        <v>47</v>
      </c>
      <c r="G51" s="19" t="n">
        <v>0</v>
      </c>
      <c r="H51" s="19" t="n">
        <v>37</v>
      </c>
      <c r="J51" s="19" t="n">
        <v>42</v>
      </c>
      <c r="L51" s="19" t="n">
        <v>86856</v>
      </c>
      <c r="M51" s="19" t="n">
        <v>0.047</v>
      </c>
    </row>
    <row r="52" s="19" customFormat="true" ht="13.5" hidden="false" customHeight="true" outlineLevel="0" collapsed="false">
      <c r="A52" s="19" t="n">
        <v>4901</v>
      </c>
      <c r="B52" s="19" t="s">
        <v>532</v>
      </c>
      <c r="C52" s="19" t="n">
        <v>48</v>
      </c>
      <c r="G52" s="19" t="n">
        <v>0</v>
      </c>
      <c r="H52" s="19" t="n">
        <v>38</v>
      </c>
      <c r="J52" s="19" t="n">
        <v>48</v>
      </c>
      <c r="L52" s="19" t="n">
        <v>92292</v>
      </c>
      <c r="M52" s="19" t="n">
        <v>0.048</v>
      </c>
    </row>
    <row r="53" s="19" customFormat="true" ht="13.5" hidden="false" customHeight="true" outlineLevel="0" collapsed="false">
      <c r="A53" s="19" t="n">
        <v>4901</v>
      </c>
      <c r="B53" s="19" t="s">
        <v>532</v>
      </c>
      <c r="C53" s="19" t="n">
        <v>49</v>
      </c>
      <c r="G53" s="19" t="n">
        <v>0</v>
      </c>
      <c r="H53" s="19" t="n">
        <v>39</v>
      </c>
      <c r="J53" s="19" t="n">
        <v>54</v>
      </c>
      <c r="L53" s="19" t="n">
        <v>93372</v>
      </c>
      <c r="M53" s="19" t="n">
        <v>0.049</v>
      </c>
    </row>
    <row r="54" s="19" customFormat="true" ht="13.5" hidden="false" customHeight="true" outlineLevel="0" collapsed="false">
      <c r="A54" s="19" t="n">
        <v>4901</v>
      </c>
      <c r="B54" s="19" t="s">
        <v>532</v>
      </c>
      <c r="C54" s="19" t="n">
        <v>50</v>
      </c>
      <c r="G54" s="19" t="n">
        <v>0</v>
      </c>
      <c r="H54" s="19" t="n">
        <v>40</v>
      </c>
      <c r="J54" s="19" t="n">
        <v>60</v>
      </c>
      <c r="L54" s="19" t="n">
        <v>100254</v>
      </c>
      <c r="M54" s="19" t="n">
        <v>0.05</v>
      </c>
    </row>
    <row r="55" s="19" customFormat="true" ht="13.5" hidden="false" customHeight="true" outlineLevel="0" collapsed="false">
      <c r="A55" s="19" t="n">
        <v>4901</v>
      </c>
      <c r="B55" s="19" t="s">
        <v>532</v>
      </c>
      <c r="C55" s="19" t="n">
        <v>51</v>
      </c>
      <c r="G55" s="19" t="n">
        <v>0</v>
      </c>
      <c r="H55" s="19" t="n">
        <v>41</v>
      </c>
      <c r="J55" s="19" t="n">
        <v>66</v>
      </c>
      <c r="L55" s="19" t="n">
        <v>107502</v>
      </c>
      <c r="M55" s="19" t="n">
        <v>0.051</v>
      </c>
    </row>
    <row r="56" s="19" customFormat="true" ht="13.5" hidden="false" customHeight="true" outlineLevel="0" collapsed="false">
      <c r="A56" s="19" t="n">
        <v>4901</v>
      </c>
      <c r="B56" s="19" t="s">
        <v>532</v>
      </c>
      <c r="C56" s="19" t="n">
        <v>52</v>
      </c>
      <c r="G56" s="19" t="n">
        <v>0</v>
      </c>
      <c r="H56" s="19" t="n">
        <v>42</v>
      </c>
      <c r="J56" s="19" t="n">
        <v>72</v>
      </c>
      <c r="L56" s="19" t="n">
        <v>115140</v>
      </c>
      <c r="M56" s="19" t="n">
        <v>0.052</v>
      </c>
    </row>
    <row r="57" s="19" customFormat="true" ht="13.5" hidden="false" customHeight="true" outlineLevel="0" collapsed="false">
      <c r="A57" s="19" t="n">
        <v>4901</v>
      </c>
      <c r="B57" s="19" t="s">
        <v>532</v>
      </c>
      <c r="C57" s="19" t="n">
        <v>53</v>
      </c>
      <c r="G57" s="19" t="n">
        <v>0</v>
      </c>
      <c r="H57" s="19" t="n">
        <v>43</v>
      </c>
      <c r="J57" s="19" t="n">
        <v>78</v>
      </c>
      <c r="L57" s="19" t="n">
        <v>123174</v>
      </c>
      <c r="M57" s="19" t="n">
        <v>0.053</v>
      </c>
    </row>
    <row r="58" s="19" customFormat="true" ht="13.5" hidden="false" customHeight="true" outlineLevel="0" collapsed="false">
      <c r="A58" s="19" t="n">
        <v>4901</v>
      </c>
      <c r="B58" s="19" t="s">
        <v>532</v>
      </c>
      <c r="C58" s="19" t="n">
        <v>54</v>
      </c>
      <c r="G58" s="19" t="n">
        <v>0</v>
      </c>
      <c r="H58" s="19" t="n">
        <v>44</v>
      </c>
      <c r="J58" s="19" t="n">
        <v>84</v>
      </c>
      <c r="L58" s="19" t="n">
        <v>131616</v>
      </c>
      <c r="M58" s="19" t="n">
        <v>0.054</v>
      </c>
    </row>
    <row r="59" s="19" customFormat="true" ht="13.5" hidden="false" customHeight="true" outlineLevel="0" collapsed="false">
      <c r="A59" s="19" t="n">
        <v>4901</v>
      </c>
      <c r="B59" s="19" t="s">
        <v>532</v>
      </c>
      <c r="C59" s="19" t="n">
        <v>55</v>
      </c>
      <c r="G59" s="19" t="n">
        <v>0</v>
      </c>
      <c r="H59" s="19" t="n">
        <v>45</v>
      </c>
      <c r="J59" s="19" t="n">
        <v>90</v>
      </c>
      <c r="L59" s="19" t="n">
        <v>140484</v>
      </c>
      <c r="M59" s="19" t="n">
        <v>0.055</v>
      </c>
    </row>
    <row r="60" s="19" customFormat="true" ht="13.5" hidden="false" customHeight="true" outlineLevel="0" collapsed="false">
      <c r="A60" s="19" t="n">
        <v>4901</v>
      </c>
      <c r="B60" s="19" t="s">
        <v>532</v>
      </c>
      <c r="C60" s="19" t="n">
        <v>56</v>
      </c>
      <c r="G60" s="19" t="n">
        <v>0</v>
      </c>
      <c r="H60" s="19" t="n">
        <v>46</v>
      </c>
      <c r="J60" s="19" t="n">
        <v>96</v>
      </c>
      <c r="L60" s="19" t="n">
        <v>149796</v>
      </c>
      <c r="M60" s="19" t="n">
        <v>0.056</v>
      </c>
    </row>
    <row r="61" s="19" customFormat="true" ht="13.5" hidden="false" customHeight="true" outlineLevel="0" collapsed="false">
      <c r="A61" s="19" t="n">
        <v>4901</v>
      </c>
      <c r="B61" s="19" t="s">
        <v>532</v>
      </c>
      <c r="C61" s="19" t="n">
        <v>57</v>
      </c>
      <c r="G61" s="19" t="n">
        <v>0</v>
      </c>
      <c r="H61" s="19" t="n">
        <v>47</v>
      </c>
      <c r="J61" s="19" t="n">
        <v>102</v>
      </c>
      <c r="L61" s="19" t="n">
        <v>159558</v>
      </c>
      <c r="M61" s="19" t="n">
        <v>0.057</v>
      </c>
    </row>
    <row r="62" s="19" customFormat="true" ht="13.5" hidden="false" customHeight="true" outlineLevel="0" collapsed="false">
      <c r="A62" s="19" t="n">
        <v>4901</v>
      </c>
      <c r="B62" s="19" t="s">
        <v>532</v>
      </c>
      <c r="C62" s="19" t="n">
        <v>58</v>
      </c>
      <c r="G62" s="19" t="n">
        <v>0</v>
      </c>
      <c r="H62" s="19" t="n">
        <v>48</v>
      </c>
      <c r="J62" s="19" t="n">
        <v>108</v>
      </c>
      <c r="L62" s="19" t="n">
        <v>169788</v>
      </c>
      <c r="M62" s="19" t="n">
        <v>0.058</v>
      </c>
    </row>
    <row r="63" s="19" customFormat="true" ht="13.5" hidden="false" customHeight="true" outlineLevel="0" collapsed="false">
      <c r="A63" s="19" t="n">
        <v>4901</v>
      </c>
      <c r="B63" s="19" t="s">
        <v>532</v>
      </c>
      <c r="C63" s="19" t="n">
        <v>59</v>
      </c>
      <c r="G63" s="19" t="n">
        <v>0</v>
      </c>
      <c r="H63" s="19" t="n">
        <v>49</v>
      </c>
      <c r="J63" s="19" t="n">
        <v>114</v>
      </c>
      <c r="L63" s="19" t="n">
        <v>180504</v>
      </c>
      <c r="M63" s="19" t="n">
        <v>0.059</v>
      </c>
    </row>
    <row r="64" s="19" customFormat="true" ht="13.5" hidden="false" customHeight="true" outlineLevel="0" collapsed="false">
      <c r="A64" s="19" t="n">
        <v>4901</v>
      </c>
      <c r="B64" s="19" t="s">
        <v>532</v>
      </c>
      <c r="C64" s="19" t="n">
        <v>60</v>
      </c>
      <c r="G64" s="19" t="n">
        <v>0</v>
      </c>
      <c r="H64" s="19" t="n">
        <v>50</v>
      </c>
      <c r="J64" s="19" t="n">
        <v>120</v>
      </c>
      <c r="L64" s="19" t="n">
        <v>191712</v>
      </c>
      <c r="M64" s="19" t="n">
        <v>0.06</v>
      </c>
    </row>
    <row r="65" s="19" customFormat="true" ht="13.5" hidden="false" customHeight="true" outlineLevel="0" collapsed="false">
      <c r="A65" s="19" t="n">
        <v>4901</v>
      </c>
      <c r="B65" s="19" t="s">
        <v>532</v>
      </c>
      <c r="C65" s="19" t="n">
        <v>61</v>
      </c>
      <c r="G65" s="19" t="n">
        <v>1000</v>
      </c>
      <c r="H65" s="19" t="n">
        <v>51</v>
      </c>
      <c r="J65" s="19" t="n">
        <v>130</v>
      </c>
      <c r="L65" s="19" t="n">
        <v>203430</v>
      </c>
      <c r="M65" s="19" t="n">
        <v>0.061</v>
      </c>
    </row>
    <row r="66" s="19" customFormat="true" ht="13.5" hidden="false" customHeight="true" outlineLevel="0" collapsed="false">
      <c r="A66" s="19" t="n">
        <v>4901</v>
      </c>
      <c r="B66" s="19" t="s">
        <v>532</v>
      </c>
      <c r="C66" s="19" t="n">
        <v>62</v>
      </c>
      <c r="G66" s="19" t="n">
        <v>1500</v>
      </c>
      <c r="H66" s="19" t="n">
        <v>52</v>
      </c>
      <c r="J66" s="19" t="n">
        <v>140</v>
      </c>
      <c r="L66" s="19" t="n">
        <v>215676</v>
      </c>
      <c r="M66" s="19" t="n">
        <v>0.062</v>
      </c>
    </row>
    <row r="67" s="19" customFormat="true" ht="13.5" hidden="false" customHeight="true" outlineLevel="0" collapsed="false">
      <c r="A67" s="19" t="n">
        <v>4901</v>
      </c>
      <c r="B67" s="19" t="s">
        <v>532</v>
      </c>
      <c r="C67" s="19" t="n">
        <v>63</v>
      </c>
      <c r="G67" s="19" t="n">
        <v>2000</v>
      </c>
      <c r="H67" s="19" t="n">
        <v>53</v>
      </c>
      <c r="J67" s="19" t="n">
        <v>150</v>
      </c>
      <c r="L67" s="19" t="n">
        <v>228462</v>
      </c>
      <c r="M67" s="19" t="n">
        <v>0.063</v>
      </c>
    </row>
    <row r="68" s="19" customFormat="true" ht="13.5" hidden="false" customHeight="true" outlineLevel="0" collapsed="false">
      <c r="A68" s="19" t="n">
        <v>4901</v>
      </c>
      <c r="B68" s="19" t="s">
        <v>532</v>
      </c>
      <c r="C68" s="19" t="n">
        <v>64</v>
      </c>
      <c r="G68" s="19" t="n">
        <v>2500</v>
      </c>
      <c r="H68" s="19" t="n">
        <v>54</v>
      </c>
      <c r="J68" s="19" t="n">
        <v>160</v>
      </c>
      <c r="L68" s="19" t="n">
        <v>241812</v>
      </c>
      <c r="M68" s="19" t="n">
        <v>0.064</v>
      </c>
    </row>
    <row r="69" s="19" customFormat="true" ht="13.5" hidden="false" customHeight="true" outlineLevel="0" collapsed="false">
      <c r="A69" s="19" t="n">
        <v>4901</v>
      </c>
      <c r="B69" s="19" t="s">
        <v>532</v>
      </c>
      <c r="C69" s="19" t="n">
        <v>65</v>
      </c>
      <c r="G69" s="19" t="n">
        <v>3000</v>
      </c>
      <c r="H69" s="19" t="n">
        <v>55</v>
      </c>
      <c r="J69" s="19" t="n">
        <v>170</v>
      </c>
      <c r="L69" s="19" t="n">
        <v>255732</v>
      </c>
      <c r="M69" s="19" t="n">
        <v>0.065</v>
      </c>
    </row>
    <row r="70" s="19" customFormat="true" ht="13.5" hidden="false" customHeight="true" outlineLevel="0" collapsed="false">
      <c r="A70" s="19" t="n">
        <v>4901</v>
      </c>
      <c r="B70" s="19" t="s">
        <v>532</v>
      </c>
      <c r="C70" s="19" t="n">
        <v>66</v>
      </c>
      <c r="G70" s="19" t="n">
        <v>3500</v>
      </c>
      <c r="H70" s="19" t="n">
        <v>56</v>
      </c>
      <c r="J70" s="19" t="n">
        <v>180</v>
      </c>
      <c r="L70" s="19" t="n">
        <v>270246</v>
      </c>
      <c r="M70" s="19" t="n">
        <v>0.066</v>
      </c>
    </row>
    <row r="71" s="19" customFormat="true" ht="13.5" hidden="false" customHeight="true" outlineLevel="0" collapsed="false">
      <c r="A71" s="19" t="n">
        <v>4901</v>
      </c>
      <c r="B71" s="19" t="s">
        <v>532</v>
      </c>
      <c r="C71" s="19" t="n">
        <v>67</v>
      </c>
      <c r="G71" s="19" t="n">
        <v>4000</v>
      </c>
      <c r="H71" s="19" t="n">
        <v>57</v>
      </c>
      <c r="J71" s="19" t="n">
        <v>190</v>
      </c>
      <c r="L71" s="19" t="n">
        <v>285366</v>
      </c>
      <c r="M71" s="19" t="n">
        <v>0.067</v>
      </c>
    </row>
    <row r="72" s="19" customFormat="true" ht="13.5" hidden="false" customHeight="true" outlineLevel="0" collapsed="false">
      <c r="A72" s="19" t="n">
        <v>4901</v>
      </c>
      <c r="B72" s="19" t="s">
        <v>532</v>
      </c>
      <c r="C72" s="19" t="n">
        <v>68</v>
      </c>
      <c r="G72" s="19" t="n">
        <v>4500</v>
      </c>
      <c r="H72" s="19" t="n">
        <v>58</v>
      </c>
      <c r="J72" s="19" t="n">
        <v>200</v>
      </c>
      <c r="L72" s="19" t="n">
        <v>301110</v>
      </c>
      <c r="M72" s="19" t="n">
        <v>0.068</v>
      </c>
    </row>
    <row r="73" s="19" customFormat="true" ht="13.5" hidden="false" customHeight="true" outlineLevel="0" collapsed="false">
      <c r="A73" s="19" t="n">
        <v>4901</v>
      </c>
      <c r="B73" s="19" t="s">
        <v>532</v>
      </c>
      <c r="C73" s="19" t="n">
        <v>69</v>
      </c>
      <c r="G73" s="19" t="n">
        <v>5000</v>
      </c>
      <c r="H73" s="19" t="n">
        <v>59</v>
      </c>
      <c r="J73" s="19" t="n">
        <v>210</v>
      </c>
      <c r="L73" s="19" t="n">
        <v>317484</v>
      </c>
      <c r="M73" s="19" t="n">
        <v>0.069</v>
      </c>
    </row>
    <row r="74" s="19" customFormat="true" ht="13.5" hidden="false" customHeight="true" outlineLevel="0" collapsed="false">
      <c r="A74" s="19" t="n">
        <v>4901</v>
      </c>
      <c r="B74" s="19" t="s">
        <v>532</v>
      </c>
      <c r="C74" s="19" t="n">
        <v>70</v>
      </c>
      <c r="G74" s="19" t="n">
        <v>5500</v>
      </c>
      <c r="H74" s="19" t="n">
        <v>60</v>
      </c>
      <c r="J74" s="19" t="n">
        <v>220</v>
      </c>
      <c r="L74" s="19" t="n">
        <v>334524</v>
      </c>
      <c r="M74" s="19" t="n">
        <v>0.07</v>
      </c>
    </row>
    <row r="75" s="19" customFormat="true" ht="13.5" hidden="false" customHeight="true" outlineLevel="0" collapsed="false">
      <c r="A75" s="19" t="n">
        <v>4901</v>
      </c>
      <c r="B75" s="19" t="s">
        <v>532</v>
      </c>
      <c r="C75" s="19" t="n">
        <v>71</v>
      </c>
      <c r="G75" s="19" t="n">
        <v>6000</v>
      </c>
      <c r="H75" s="19" t="n">
        <v>61</v>
      </c>
      <c r="J75" s="19" t="n">
        <v>230</v>
      </c>
      <c r="L75" s="19" t="n">
        <v>352242</v>
      </c>
      <c r="M75" s="19" t="n">
        <v>0.071</v>
      </c>
    </row>
    <row r="76" s="19" customFormat="true" ht="13.5" hidden="false" customHeight="true" outlineLevel="0" collapsed="false">
      <c r="A76" s="19" t="n">
        <v>4901</v>
      </c>
      <c r="B76" s="19" t="s">
        <v>532</v>
      </c>
      <c r="C76" s="19" t="n">
        <v>72</v>
      </c>
      <c r="G76" s="19" t="n">
        <v>6500</v>
      </c>
      <c r="H76" s="19" t="n">
        <v>62</v>
      </c>
      <c r="J76" s="19" t="n">
        <v>240</v>
      </c>
      <c r="L76" s="19" t="n">
        <v>370644</v>
      </c>
      <c r="M76" s="19" t="n">
        <v>0.072</v>
      </c>
    </row>
    <row r="77" s="19" customFormat="true" ht="13.5" hidden="false" customHeight="true" outlineLevel="0" collapsed="false">
      <c r="A77" s="19" t="n">
        <v>4901</v>
      </c>
      <c r="B77" s="19" t="s">
        <v>532</v>
      </c>
      <c r="C77" s="19" t="n">
        <v>73</v>
      </c>
      <c r="G77" s="19" t="n">
        <v>7000</v>
      </c>
      <c r="H77" s="19" t="n">
        <v>63</v>
      </c>
      <c r="J77" s="19" t="n">
        <v>250</v>
      </c>
      <c r="L77" s="19" t="n">
        <v>389760</v>
      </c>
      <c r="M77" s="19" t="n">
        <v>0.073</v>
      </c>
    </row>
    <row r="78" s="19" customFormat="true" ht="13.5" hidden="false" customHeight="true" outlineLevel="0" collapsed="false">
      <c r="A78" s="19" t="n">
        <v>4901</v>
      </c>
      <c r="B78" s="19" t="s">
        <v>532</v>
      </c>
      <c r="C78" s="19" t="n">
        <v>74</v>
      </c>
      <c r="G78" s="19" t="n">
        <v>7500</v>
      </c>
      <c r="H78" s="19" t="n">
        <v>64</v>
      </c>
      <c r="J78" s="19" t="n">
        <v>260</v>
      </c>
      <c r="L78" s="19" t="n">
        <v>409596</v>
      </c>
      <c r="M78" s="19" t="n">
        <v>0.074</v>
      </c>
    </row>
    <row r="79" s="19" customFormat="true" ht="13.5" hidden="false" customHeight="true" outlineLevel="0" collapsed="false">
      <c r="A79" s="19" t="n">
        <v>4901</v>
      </c>
      <c r="B79" s="19" t="s">
        <v>532</v>
      </c>
      <c r="C79" s="19" t="n">
        <v>75</v>
      </c>
      <c r="G79" s="19" t="n">
        <v>8000</v>
      </c>
      <c r="H79" s="19" t="n">
        <v>65</v>
      </c>
      <c r="J79" s="19" t="n">
        <v>270</v>
      </c>
      <c r="L79" s="19" t="n">
        <v>430182</v>
      </c>
      <c r="M79" s="19" t="n">
        <v>0.075</v>
      </c>
    </row>
    <row r="80" s="19" customFormat="true" ht="13.5" hidden="false" customHeight="true" outlineLevel="0" collapsed="false">
      <c r="A80" s="19" t="n">
        <v>4901</v>
      </c>
      <c r="B80" s="19" t="s">
        <v>532</v>
      </c>
      <c r="C80" s="19" t="n">
        <v>76</v>
      </c>
      <c r="G80" s="19" t="n">
        <v>8500</v>
      </c>
      <c r="H80" s="19" t="n">
        <v>66</v>
      </c>
      <c r="J80" s="19" t="n">
        <v>280</v>
      </c>
      <c r="L80" s="19" t="n">
        <v>451536</v>
      </c>
      <c r="M80" s="19" t="n">
        <v>0.076</v>
      </c>
    </row>
    <row r="81" s="19" customFormat="true" ht="13.5" hidden="false" customHeight="true" outlineLevel="0" collapsed="false">
      <c r="A81" s="19" t="n">
        <v>4901</v>
      </c>
      <c r="B81" s="19" t="s">
        <v>532</v>
      </c>
      <c r="C81" s="19" t="n">
        <v>77</v>
      </c>
      <c r="G81" s="19" t="n">
        <v>9000</v>
      </c>
      <c r="H81" s="19" t="n">
        <v>67</v>
      </c>
      <c r="J81" s="19" t="n">
        <v>290</v>
      </c>
      <c r="L81" s="19" t="n">
        <v>473664</v>
      </c>
      <c r="M81" s="19" t="n">
        <v>0.077</v>
      </c>
    </row>
    <row r="82" s="19" customFormat="true" ht="13.5" hidden="false" customHeight="true" outlineLevel="0" collapsed="false">
      <c r="A82" s="19" t="n">
        <v>4901</v>
      </c>
      <c r="B82" s="19" t="s">
        <v>532</v>
      </c>
      <c r="C82" s="19" t="n">
        <v>78</v>
      </c>
      <c r="G82" s="19" t="n">
        <v>9500</v>
      </c>
      <c r="H82" s="19" t="n">
        <v>68</v>
      </c>
      <c r="J82" s="19" t="n">
        <v>300</v>
      </c>
      <c r="L82" s="19" t="n">
        <v>496596</v>
      </c>
      <c r="M82" s="19" t="n">
        <v>0.078</v>
      </c>
    </row>
    <row r="83" s="19" customFormat="true" ht="13.5" hidden="false" customHeight="true" outlineLevel="0" collapsed="false">
      <c r="A83" s="19" t="n">
        <v>4901</v>
      </c>
      <c r="B83" s="19" t="s">
        <v>532</v>
      </c>
      <c r="C83" s="19" t="n">
        <v>79</v>
      </c>
      <c r="G83" s="19" t="n">
        <v>10000</v>
      </c>
      <c r="H83" s="19" t="n">
        <v>69</v>
      </c>
      <c r="J83" s="19" t="n">
        <v>310</v>
      </c>
      <c r="L83" s="19" t="n">
        <v>520344</v>
      </c>
      <c r="M83" s="19" t="n">
        <v>0.079</v>
      </c>
    </row>
    <row r="84" s="19" customFormat="true" ht="13.5" hidden="false" customHeight="true" outlineLevel="0" collapsed="false">
      <c r="A84" s="19" t="n">
        <v>4901</v>
      </c>
      <c r="B84" s="19" t="s">
        <v>532</v>
      </c>
      <c r="C84" s="19" t="n">
        <v>80</v>
      </c>
      <c r="G84" s="19" t="n">
        <v>10500</v>
      </c>
      <c r="H84" s="19" t="n">
        <v>70</v>
      </c>
      <c r="J84" s="19" t="n">
        <v>330</v>
      </c>
      <c r="L84" s="19" t="n">
        <v>544938</v>
      </c>
      <c r="M84" s="19" t="n">
        <v>0.08</v>
      </c>
    </row>
    <row r="85" s="19" customFormat="true" ht="13.5" hidden="false" customHeight="true" outlineLevel="0" collapsed="false">
      <c r="A85" s="19" t="n">
        <v>4901</v>
      </c>
      <c r="B85" s="19" t="s">
        <v>532</v>
      </c>
      <c r="C85" s="19" t="n">
        <v>81</v>
      </c>
      <c r="G85" s="19" t="n">
        <v>11000</v>
      </c>
      <c r="H85" s="19" t="n">
        <v>71</v>
      </c>
      <c r="J85" s="19" t="n">
        <v>350</v>
      </c>
      <c r="L85" s="19" t="n">
        <v>570390</v>
      </c>
      <c r="M85" s="19" t="n">
        <v>0.081</v>
      </c>
    </row>
    <row r="86" s="19" customFormat="true" ht="13.5" hidden="false" customHeight="true" outlineLevel="0" collapsed="false">
      <c r="A86" s="19" t="n">
        <v>4901</v>
      </c>
      <c r="B86" s="19" t="s">
        <v>532</v>
      </c>
      <c r="C86" s="19" t="n">
        <v>82</v>
      </c>
      <c r="G86" s="19" t="n">
        <v>11500</v>
      </c>
      <c r="H86" s="19" t="n">
        <v>72</v>
      </c>
      <c r="J86" s="19" t="n">
        <v>370</v>
      </c>
      <c r="L86" s="19" t="n">
        <v>596712</v>
      </c>
      <c r="M86" s="19" t="n">
        <v>0.082</v>
      </c>
    </row>
    <row r="87" s="19" customFormat="true" ht="13.5" hidden="false" customHeight="true" outlineLevel="0" collapsed="false">
      <c r="A87" s="19" t="n">
        <v>4901</v>
      </c>
      <c r="B87" s="19" t="s">
        <v>532</v>
      </c>
      <c r="C87" s="19" t="n">
        <v>83</v>
      </c>
      <c r="G87" s="19" t="n">
        <v>12000</v>
      </c>
      <c r="H87" s="19" t="n">
        <v>73</v>
      </c>
      <c r="J87" s="19" t="n">
        <v>390</v>
      </c>
      <c r="L87" s="19" t="n">
        <v>623946</v>
      </c>
      <c r="M87" s="19" t="n">
        <v>0.083</v>
      </c>
    </row>
    <row r="88" s="19" customFormat="true" ht="13.5" hidden="false" customHeight="true" outlineLevel="0" collapsed="false">
      <c r="A88" s="19" t="n">
        <v>4901</v>
      </c>
      <c r="B88" s="19" t="s">
        <v>532</v>
      </c>
      <c r="C88" s="19" t="n">
        <v>84</v>
      </c>
      <c r="G88" s="19" t="n">
        <v>12500</v>
      </c>
      <c r="H88" s="19" t="n">
        <v>74</v>
      </c>
      <c r="J88" s="19" t="n">
        <v>410</v>
      </c>
      <c r="L88" s="19" t="n">
        <v>652086</v>
      </c>
      <c r="M88" s="19" t="n">
        <v>0.084</v>
      </c>
    </row>
    <row r="89" s="19" customFormat="true" ht="13.5" hidden="false" customHeight="true" outlineLevel="0" collapsed="false">
      <c r="A89" s="19" t="n">
        <v>4901</v>
      </c>
      <c r="B89" s="19" t="s">
        <v>532</v>
      </c>
      <c r="C89" s="19" t="n">
        <v>85</v>
      </c>
      <c r="G89" s="19" t="n">
        <v>13000</v>
      </c>
      <c r="H89" s="19" t="n">
        <v>75</v>
      </c>
      <c r="J89" s="19" t="n">
        <v>430</v>
      </c>
      <c r="L89" s="19" t="n">
        <v>681168</v>
      </c>
      <c r="M89" s="19" t="n">
        <v>0.085</v>
      </c>
    </row>
    <row r="90" s="19" customFormat="true" ht="13.5" hidden="false" customHeight="true" outlineLevel="0" collapsed="false">
      <c r="A90" s="19" t="n">
        <v>4901</v>
      </c>
      <c r="B90" s="19" t="s">
        <v>532</v>
      </c>
      <c r="C90" s="19" t="n">
        <v>86</v>
      </c>
      <c r="G90" s="19" t="n">
        <v>13500</v>
      </c>
      <c r="H90" s="19" t="n">
        <v>76</v>
      </c>
      <c r="J90" s="19" t="n">
        <v>450</v>
      </c>
      <c r="L90" s="19" t="n">
        <v>711210</v>
      </c>
      <c r="M90" s="19" t="n">
        <v>0.086</v>
      </c>
    </row>
    <row r="91" s="19" customFormat="true" ht="13.5" hidden="false" customHeight="true" outlineLevel="0" collapsed="false">
      <c r="A91" s="19" t="n">
        <v>4901</v>
      </c>
      <c r="B91" s="19" t="s">
        <v>532</v>
      </c>
      <c r="C91" s="19" t="n">
        <v>87</v>
      </c>
      <c r="G91" s="19" t="n">
        <v>14000</v>
      </c>
      <c r="H91" s="19" t="n">
        <v>77</v>
      </c>
      <c r="J91" s="19" t="n">
        <v>470</v>
      </c>
      <c r="L91" s="19" t="n">
        <v>742230</v>
      </c>
      <c r="M91" s="19" t="n">
        <v>0.087</v>
      </c>
    </row>
    <row r="92" s="19" customFormat="true" ht="13.5" hidden="false" customHeight="true" outlineLevel="0" collapsed="false">
      <c r="A92" s="19" t="n">
        <v>4901</v>
      </c>
      <c r="B92" s="19" t="s">
        <v>532</v>
      </c>
      <c r="C92" s="19" t="n">
        <v>88</v>
      </c>
      <c r="G92" s="19" t="n">
        <v>14500</v>
      </c>
      <c r="H92" s="19" t="n">
        <v>78</v>
      </c>
      <c r="J92" s="19" t="n">
        <v>490</v>
      </c>
      <c r="L92" s="19" t="n">
        <v>774252</v>
      </c>
      <c r="M92" s="19" t="n">
        <v>0.088</v>
      </c>
    </row>
    <row r="93" s="19" customFormat="true" ht="13.5" hidden="false" customHeight="true" outlineLevel="0" collapsed="false">
      <c r="A93" s="19" t="n">
        <v>4901</v>
      </c>
      <c r="B93" s="19" t="s">
        <v>532</v>
      </c>
      <c r="C93" s="19" t="n">
        <v>89</v>
      </c>
      <c r="G93" s="19" t="n">
        <v>15000</v>
      </c>
      <c r="H93" s="19" t="n">
        <v>79</v>
      </c>
      <c r="J93" s="19" t="n">
        <v>510</v>
      </c>
      <c r="L93" s="19" t="n">
        <v>807300</v>
      </c>
      <c r="M93" s="19" t="n">
        <v>0.089</v>
      </c>
    </row>
    <row r="94" s="19" customFormat="true" ht="13.5" hidden="false" customHeight="true" outlineLevel="0" collapsed="false">
      <c r="A94" s="19" t="n">
        <v>4901</v>
      </c>
      <c r="B94" s="19" t="s">
        <v>532</v>
      </c>
      <c r="C94" s="19" t="n">
        <v>90</v>
      </c>
      <c r="G94" s="19" t="n">
        <v>15500</v>
      </c>
      <c r="H94" s="19" t="n">
        <v>80</v>
      </c>
      <c r="J94" s="19" t="n">
        <v>530</v>
      </c>
      <c r="L94" s="19" t="n">
        <v>841386</v>
      </c>
      <c r="M94" s="19" t="n">
        <v>0.09</v>
      </c>
    </row>
    <row r="95" s="19" customFormat="true" ht="13.5" hidden="false" customHeight="true" outlineLevel="0" collapsed="false">
      <c r="A95" s="19" t="n">
        <v>4901</v>
      </c>
      <c r="B95" s="19" t="s">
        <v>532</v>
      </c>
      <c r="C95" s="19" t="n">
        <v>91</v>
      </c>
      <c r="G95" s="19" t="n">
        <v>16000</v>
      </c>
      <c r="H95" s="19" t="n">
        <v>81</v>
      </c>
      <c r="J95" s="19" t="n">
        <v>550</v>
      </c>
      <c r="L95" s="19" t="n">
        <v>876534</v>
      </c>
      <c r="M95" s="19" t="n">
        <v>0.091</v>
      </c>
    </row>
    <row r="96" s="19" customFormat="true" ht="13.5" hidden="false" customHeight="true" outlineLevel="0" collapsed="false">
      <c r="A96" s="19" t="n">
        <v>4901</v>
      </c>
      <c r="B96" s="19" t="s">
        <v>532</v>
      </c>
      <c r="C96" s="19" t="n">
        <v>92</v>
      </c>
      <c r="G96" s="19" t="n">
        <v>16500</v>
      </c>
      <c r="H96" s="19" t="n">
        <v>82</v>
      </c>
      <c r="J96" s="19" t="n">
        <v>570</v>
      </c>
      <c r="L96" s="19" t="n">
        <v>912774</v>
      </c>
      <c r="M96" s="19" t="n">
        <v>0.092</v>
      </c>
    </row>
    <row r="97" s="19" customFormat="true" ht="13.5" hidden="false" customHeight="true" outlineLevel="0" collapsed="false">
      <c r="A97" s="19" t="n">
        <v>4901</v>
      </c>
      <c r="B97" s="19" t="s">
        <v>532</v>
      </c>
      <c r="C97" s="19" t="n">
        <v>93</v>
      </c>
      <c r="G97" s="19" t="n">
        <v>17000</v>
      </c>
      <c r="H97" s="19" t="n">
        <v>83</v>
      </c>
      <c r="J97" s="19" t="n">
        <v>590</v>
      </c>
      <c r="L97" s="19" t="n">
        <v>950124</v>
      </c>
      <c r="M97" s="19" t="n">
        <v>0.093</v>
      </c>
    </row>
    <row r="98" s="19" customFormat="true" ht="13.5" hidden="false" customHeight="true" outlineLevel="0" collapsed="false">
      <c r="A98" s="19" t="n">
        <v>4901</v>
      </c>
      <c r="B98" s="19" t="s">
        <v>532</v>
      </c>
      <c r="C98" s="19" t="n">
        <v>94</v>
      </c>
      <c r="G98" s="19" t="n">
        <v>17500</v>
      </c>
      <c r="H98" s="19" t="n">
        <v>84</v>
      </c>
      <c r="J98" s="19" t="n">
        <v>610</v>
      </c>
      <c r="L98" s="19" t="n">
        <v>988596</v>
      </c>
      <c r="M98" s="19" t="n">
        <v>0.094</v>
      </c>
    </row>
    <row r="99" s="19" customFormat="true" ht="13.5" hidden="false" customHeight="true" outlineLevel="0" collapsed="false">
      <c r="A99" s="19" t="n">
        <v>4901</v>
      </c>
      <c r="B99" s="19" t="s">
        <v>532</v>
      </c>
      <c r="C99" s="19" t="n">
        <v>95</v>
      </c>
      <c r="G99" s="19" t="n">
        <v>18000</v>
      </c>
      <c r="H99" s="19" t="n">
        <v>85</v>
      </c>
      <c r="J99" s="19" t="n">
        <v>630</v>
      </c>
      <c r="L99" s="19" t="n">
        <v>1028232</v>
      </c>
      <c r="M99" s="19" t="n">
        <v>0.095</v>
      </c>
    </row>
    <row r="100" s="19" customFormat="true" ht="13.5" hidden="false" customHeight="true" outlineLevel="0" collapsed="false">
      <c r="A100" s="19" t="n">
        <v>4901</v>
      </c>
      <c r="B100" s="19" t="s">
        <v>532</v>
      </c>
      <c r="C100" s="19" t="n">
        <v>96</v>
      </c>
      <c r="G100" s="19" t="n">
        <v>18500</v>
      </c>
      <c r="H100" s="19" t="n">
        <v>86</v>
      </c>
      <c r="J100" s="19" t="n">
        <v>650</v>
      </c>
      <c r="L100" s="19" t="n">
        <v>1069044</v>
      </c>
      <c r="M100" s="19" t="n">
        <v>0.096</v>
      </c>
    </row>
    <row r="101" s="19" customFormat="true" ht="13.5" hidden="false" customHeight="true" outlineLevel="0" collapsed="false">
      <c r="A101" s="19" t="n">
        <v>4901</v>
      </c>
      <c r="B101" s="19" t="s">
        <v>532</v>
      </c>
      <c r="C101" s="19" t="n">
        <v>97</v>
      </c>
      <c r="G101" s="19" t="n">
        <v>19000</v>
      </c>
      <c r="H101" s="19" t="n">
        <v>87</v>
      </c>
      <c r="J101" s="19" t="n">
        <v>670</v>
      </c>
      <c r="L101" s="19" t="n">
        <v>1111050</v>
      </c>
      <c r="M101" s="19" t="n">
        <v>0.097</v>
      </c>
    </row>
    <row r="102" s="19" customFormat="true" ht="13.5" hidden="false" customHeight="true" outlineLevel="0" collapsed="false">
      <c r="A102" s="19" t="n">
        <v>4901</v>
      </c>
      <c r="B102" s="19" t="s">
        <v>532</v>
      </c>
      <c r="C102" s="19" t="n">
        <v>98</v>
      </c>
      <c r="G102" s="19" t="n">
        <v>19500</v>
      </c>
      <c r="H102" s="19" t="n">
        <v>88</v>
      </c>
      <c r="J102" s="19" t="n">
        <v>690</v>
      </c>
      <c r="L102" s="19" t="n">
        <v>1154280</v>
      </c>
      <c r="M102" s="19" t="n">
        <v>0.098</v>
      </c>
    </row>
    <row r="103" s="19" customFormat="true" ht="13.5" hidden="false" customHeight="true" outlineLevel="0" collapsed="false">
      <c r="A103" s="19" t="n">
        <v>4901</v>
      </c>
      <c r="B103" s="19" t="s">
        <v>532</v>
      </c>
      <c r="C103" s="19" t="n">
        <v>99</v>
      </c>
      <c r="G103" s="19" t="n">
        <v>20000</v>
      </c>
      <c r="H103" s="19" t="n">
        <v>89</v>
      </c>
      <c r="J103" s="19" t="n">
        <v>710</v>
      </c>
      <c r="L103" s="19" t="n">
        <v>1198752</v>
      </c>
      <c r="M103" s="19" t="n">
        <v>0.099</v>
      </c>
    </row>
    <row r="104" s="19" customFormat="true" ht="13.5" hidden="false" customHeight="true" outlineLevel="0" collapsed="false">
      <c r="A104" s="19" t="n">
        <v>4901</v>
      </c>
      <c r="B104" s="19" t="s">
        <v>532</v>
      </c>
      <c r="C104" s="19" t="n">
        <v>100</v>
      </c>
      <c r="G104" s="19" t="n">
        <v>20500</v>
      </c>
      <c r="H104" s="19" t="n">
        <v>90</v>
      </c>
      <c r="J104" s="19" t="n">
        <v>730</v>
      </c>
      <c r="L104" s="19" t="n">
        <v>1244502</v>
      </c>
      <c r="M104" s="19" t="n">
        <v>0.1</v>
      </c>
    </row>
    <row r="105" s="21" customFormat="true" ht="13.5" hidden="false" customHeight="true" outlineLevel="0" collapsed="false">
      <c r="A105" s="21" t="n">
        <v>4902</v>
      </c>
      <c r="B105" s="21" t="s">
        <v>535</v>
      </c>
      <c r="C105" s="21" t="n">
        <v>1</v>
      </c>
      <c r="D105" s="21" t="s">
        <v>535</v>
      </c>
      <c r="E105" s="21" t="s">
        <v>536</v>
      </c>
      <c r="F105" s="21" t="s">
        <v>537</v>
      </c>
      <c r="G105" s="21" t="n">
        <v>0</v>
      </c>
      <c r="H105" s="21" t="n">
        <v>0</v>
      </c>
      <c r="J105" s="21" t="n">
        <v>0</v>
      </c>
      <c r="L105" s="21" t="n">
        <v>150</v>
      </c>
      <c r="N105" s="21" t="n">
        <v>0.001</v>
      </c>
    </row>
    <row r="106" s="21" customFormat="true" ht="13.5" hidden="false" customHeight="true" outlineLevel="0" collapsed="false">
      <c r="A106" s="21" t="n">
        <v>4902</v>
      </c>
      <c r="B106" s="21" t="s">
        <v>535</v>
      </c>
      <c r="C106" s="21" t="n">
        <v>2</v>
      </c>
      <c r="G106" s="21" t="n">
        <v>0</v>
      </c>
      <c r="H106" s="21" t="n">
        <v>0</v>
      </c>
      <c r="J106" s="21" t="n">
        <v>0</v>
      </c>
      <c r="L106" s="21" t="n">
        <v>270</v>
      </c>
      <c r="N106" s="21" t="n">
        <v>0.002</v>
      </c>
    </row>
    <row r="107" s="21" customFormat="true" ht="13.5" hidden="false" customHeight="true" outlineLevel="0" collapsed="false">
      <c r="A107" s="21" t="n">
        <v>4902</v>
      </c>
      <c r="B107" s="21" t="s">
        <v>535</v>
      </c>
      <c r="C107" s="21" t="n">
        <v>3</v>
      </c>
      <c r="G107" s="21" t="n">
        <v>0</v>
      </c>
      <c r="H107" s="21" t="n">
        <v>0</v>
      </c>
      <c r="J107" s="21" t="n">
        <v>0</v>
      </c>
      <c r="L107" s="21" t="n">
        <v>420</v>
      </c>
      <c r="N107" s="21" t="n">
        <v>0.003</v>
      </c>
    </row>
    <row r="108" s="21" customFormat="true" ht="13.5" hidden="false" customHeight="true" outlineLevel="0" collapsed="false">
      <c r="A108" s="21" t="n">
        <v>4902</v>
      </c>
      <c r="B108" s="21" t="s">
        <v>535</v>
      </c>
      <c r="C108" s="21" t="n">
        <v>4</v>
      </c>
      <c r="G108" s="21" t="n">
        <v>0</v>
      </c>
      <c r="H108" s="21" t="n">
        <v>0</v>
      </c>
      <c r="J108" s="21" t="n">
        <v>0</v>
      </c>
      <c r="L108" s="21" t="n">
        <v>660</v>
      </c>
      <c r="N108" s="21" t="n">
        <v>0.004</v>
      </c>
    </row>
    <row r="109" s="21" customFormat="true" ht="13.5" hidden="false" customHeight="true" outlineLevel="0" collapsed="false">
      <c r="A109" s="21" t="n">
        <v>4902</v>
      </c>
      <c r="B109" s="21" t="s">
        <v>535</v>
      </c>
      <c r="C109" s="21" t="n">
        <v>5</v>
      </c>
      <c r="G109" s="21" t="n">
        <v>0</v>
      </c>
      <c r="H109" s="21" t="n">
        <v>0</v>
      </c>
      <c r="J109" s="21" t="n">
        <v>0</v>
      </c>
      <c r="L109" s="21" t="n">
        <v>870</v>
      </c>
      <c r="N109" s="21" t="n">
        <v>0.005</v>
      </c>
    </row>
    <row r="110" s="21" customFormat="true" ht="13.5" hidden="false" customHeight="true" outlineLevel="0" collapsed="false">
      <c r="A110" s="21" t="n">
        <v>4902</v>
      </c>
      <c r="B110" s="21" t="s">
        <v>535</v>
      </c>
      <c r="C110" s="21" t="n">
        <v>6</v>
      </c>
      <c r="G110" s="21" t="n">
        <v>0</v>
      </c>
      <c r="H110" s="21" t="n">
        <v>0</v>
      </c>
      <c r="J110" s="21" t="n">
        <v>0</v>
      </c>
      <c r="L110" s="21" t="n">
        <v>1170</v>
      </c>
      <c r="N110" s="21" t="n">
        <v>0.006</v>
      </c>
    </row>
    <row r="111" s="21" customFormat="true" ht="13.5" hidden="false" customHeight="true" outlineLevel="0" collapsed="false">
      <c r="A111" s="21" t="n">
        <v>4902</v>
      </c>
      <c r="B111" s="21" t="s">
        <v>535</v>
      </c>
      <c r="C111" s="21" t="n">
        <v>7</v>
      </c>
      <c r="G111" s="21" t="n">
        <v>0</v>
      </c>
      <c r="H111" s="21" t="n">
        <v>0</v>
      </c>
      <c r="J111" s="21" t="n">
        <v>0</v>
      </c>
      <c r="L111" s="21" t="n">
        <v>1530</v>
      </c>
      <c r="N111" s="21" t="n">
        <v>0.007</v>
      </c>
    </row>
    <row r="112" s="21" customFormat="true" ht="13.5" hidden="false" customHeight="true" outlineLevel="0" collapsed="false">
      <c r="A112" s="21" t="n">
        <v>4902</v>
      </c>
      <c r="B112" s="21" t="s">
        <v>535</v>
      </c>
      <c r="C112" s="21" t="n">
        <v>8</v>
      </c>
      <c r="G112" s="21" t="n">
        <v>0</v>
      </c>
      <c r="H112" s="21" t="n">
        <v>0</v>
      </c>
      <c r="J112" s="21" t="n">
        <v>0</v>
      </c>
      <c r="L112" s="21" t="n">
        <v>1980</v>
      </c>
      <c r="N112" s="21" t="n">
        <v>0.008</v>
      </c>
    </row>
    <row r="113" s="21" customFormat="true" ht="13.5" hidden="false" customHeight="true" outlineLevel="0" collapsed="false">
      <c r="A113" s="21" t="n">
        <v>4902</v>
      </c>
      <c r="B113" s="21" t="s">
        <v>535</v>
      </c>
      <c r="C113" s="21" t="n">
        <v>9</v>
      </c>
      <c r="G113" s="21" t="n">
        <v>0</v>
      </c>
      <c r="H113" s="21" t="n">
        <v>0</v>
      </c>
      <c r="J113" s="21" t="n">
        <v>0</v>
      </c>
      <c r="L113" s="21" t="n">
        <v>2550</v>
      </c>
      <c r="N113" s="21" t="n">
        <v>0.009</v>
      </c>
    </row>
    <row r="114" s="21" customFormat="true" ht="13.5" hidden="false" customHeight="true" outlineLevel="0" collapsed="false">
      <c r="A114" s="21" t="n">
        <v>4902</v>
      </c>
      <c r="B114" s="21" t="s">
        <v>535</v>
      </c>
      <c r="C114" s="21" t="n">
        <v>10</v>
      </c>
      <c r="G114" s="21" t="n">
        <v>0</v>
      </c>
      <c r="H114" s="21" t="n">
        <v>0</v>
      </c>
      <c r="J114" s="21" t="n">
        <v>0</v>
      </c>
      <c r="L114" s="21" t="n">
        <v>3180</v>
      </c>
      <c r="N114" s="21" t="n">
        <v>0.01</v>
      </c>
    </row>
    <row r="115" s="21" customFormat="true" ht="13.5" hidden="false" customHeight="true" outlineLevel="0" collapsed="false">
      <c r="A115" s="21" t="n">
        <v>4902</v>
      </c>
      <c r="B115" s="21" t="s">
        <v>535</v>
      </c>
      <c r="C115" s="21" t="n">
        <v>11</v>
      </c>
      <c r="G115" s="21" t="n">
        <v>0</v>
      </c>
      <c r="H115" s="21" t="n">
        <v>1</v>
      </c>
      <c r="J115" s="21" t="n">
        <v>0</v>
      </c>
      <c r="L115" s="21" t="n">
        <v>4020</v>
      </c>
      <c r="N115" s="21" t="n">
        <v>0.011</v>
      </c>
    </row>
    <row r="116" s="21" customFormat="true" ht="13.5" hidden="false" customHeight="true" outlineLevel="0" collapsed="false">
      <c r="A116" s="21" t="n">
        <v>4902</v>
      </c>
      <c r="B116" s="21" t="s">
        <v>535</v>
      </c>
      <c r="C116" s="21" t="n">
        <v>12</v>
      </c>
      <c r="G116" s="21" t="n">
        <v>0</v>
      </c>
      <c r="H116" s="21" t="n">
        <v>2</v>
      </c>
      <c r="J116" s="21" t="n">
        <v>0</v>
      </c>
      <c r="L116" s="21" t="n">
        <v>4980</v>
      </c>
      <c r="N116" s="21" t="n">
        <v>0.012</v>
      </c>
    </row>
    <row r="117" s="21" customFormat="true" ht="13.5" hidden="false" customHeight="true" outlineLevel="0" collapsed="false">
      <c r="A117" s="21" t="n">
        <v>4902</v>
      </c>
      <c r="B117" s="21" t="s">
        <v>535</v>
      </c>
      <c r="C117" s="21" t="n">
        <v>13</v>
      </c>
      <c r="G117" s="21" t="n">
        <v>0</v>
      </c>
      <c r="H117" s="21" t="n">
        <v>3</v>
      </c>
      <c r="J117" s="21" t="n">
        <v>0</v>
      </c>
      <c r="L117" s="21" t="n">
        <v>6120</v>
      </c>
      <c r="N117" s="21" t="n">
        <v>0.013</v>
      </c>
    </row>
    <row r="118" s="21" customFormat="true" ht="13.5" hidden="false" customHeight="true" outlineLevel="0" collapsed="false">
      <c r="A118" s="21" t="n">
        <v>4902</v>
      </c>
      <c r="B118" s="21" t="s">
        <v>535</v>
      </c>
      <c r="C118" s="21" t="n">
        <v>14</v>
      </c>
      <c r="G118" s="21" t="n">
        <v>0</v>
      </c>
      <c r="H118" s="21" t="n">
        <v>4</v>
      </c>
      <c r="J118" s="21" t="n">
        <v>0</v>
      </c>
      <c r="L118" s="21" t="n">
        <v>7470</v>
      </c>
      <c r="N118" s="21" t="n">
        <v>0.014</v>
      </c>
    </row>
    <row r="119" s="21" customFormat="true" ht="13.5" hidden="false" customHeight="true" outlineLevel="0" collapsed="false">
      <c r="A119" s="21" t="n">
        <v>4902</v>
      </c>
      <c r="B119" s="21" t="s">
        <v>535</v>
      </c>
      <c r="C119" s="21" t="n">
        <v>15</v>
      </c>
      <c r="G119" s="21" t="n">
        <v>0</v>
      </c>
      <c r="H119" s="21" t="n">
        <v>5</v>
      </c>
      <c r="J119" s="21" t="n">
        <v>0</v>
      </c>
      <c r="L119" s="21" t="n">
        <v>9030</v>
      </c>
      <c r="N119" s="21" t="n">
        <v>0.015</v>
      </c>
    </row>
    <row r="120" s="21" customFormat="true" ht="13.5" hidden="false" customHeight="true" outlineLevel="0" collapsed="false">
      <c r="A120" s="21" t="n">
        <v>4902</v>
      </c>
      <c r="B120" s="21" t="s">
        <v>535</v>
      </c>
      <c r="C120" s="21" t="n">
        <v>16</v>
      </c>
      <c r="G120" s="21" t="n">
        <v>0</v>
      </c>
      <c r="H120" s="21" t="n">
        <v>6</v>
      </c>
      <c r="J120" s="21" t="n">
        <v>0</v>
      </c>
      <c r="L120" s="21" t="n">
        <v>10848</v>
      </c>
      <c r="N120" s="21" t="n">
        <v>0.016</v>
      </c>
    </row>
    <row r="121" s="21" customFormat="true" ht="13.5" hidden="false" customHeight="true" outlineLevel="0" collapsed="false">
      <c r="A121" s="21" t="n">
        <v>4902</v>
      </c>
      <c r="B121" s="21" t="s">
        <v>535</v>
      </c>
      <c r="C121" s="21" t="n">
        <v>17</v>
      </c>
      <c r="G121" s="21" t="n">
        <v>0</v>
      </c>
      <c r="H121" s="21" t="n">
        <v>7</v>
      </c>
      <c r="J121" s="21" t="n">
        <v>0</v>
      </c>
      <c r="L121" s="21" t="n">
        <v>10860</v>
      </c>
      <c r="N121" s="21" t="n">
        <v>0.017</v>
      </c>
    </row>
    <row r="122" s="21" customFormat="true" ht="13.5" hidden="false" customHeight="true" outlineLevel="0" collapsed="false">
      <c r="A122" s="21" t="n">
        <v>4902</v>
      </c>
      <c r="B122" s="21" t="s">
        <v>535</v>
      </c>
      <c r="C122" s="21" t="n">
        <v>18</v>
      </c>
      <c r="G122" s="21" t="n">
        <v>0</v>
      </c>
      <c r="H122" s="21" t="n">
        <v>8</v>
      </c>
      <c r="J122" s="21" t="n">
        <v>0</v>
      </c>
      <c r="L122" s="21" t="n">
        <v>12930</v>
      </c>
      <c r="N122" s="21" t="n">
        <v>0.018</v>
      </c>
    </row>
    <row r="123" s="21" customFormat="true" ht="13.5" hidden="false" customHeight="true" outlineLevel="0" collapsed="false">
      <c r="A123" s="21" t="n">
        <v>4902</v>
      </c>
      <c r="B123" s="21" t="s">
        <v>535</v>
      </c>
      <c r="C123" s="21" t="n">
        <v>19</v>
      </c>
      <c r="G123" s="21" t="n">
        <v>0</v>
      </c>
      <c r="H123" s="21" t="n">
        <v>9</v>
      </c>
      <c r="J123" s="21" t="n">
        <v>0</v>
      </c>
      <c r="L123" s="21" t="n">
        <v>13128</v>
      </c>
      <c r="N123" s="21" t="n">
        <v>0.019</v>
      </c>
    </row>
    <row r="124" s="21" customFormat="true" ht="13.5" hidden="false" customHeight="true" outlineLevel="0" collapsed="false">
      <c r="A124" s="21" t="n">
        <v>4902</v>
      </c>
      <c r="B124" s="21" t="s">
        <v>535</v>
      </c>
      <c r="C124" s="21" t="n">
        <v>20</v>
      </c>
      <c r="G124" s="21" t="n">
        <v>0</v>
      </c>
      <c r="H124" s="21" t="n">
        <v>10</v>
      </c>
      <c r="J124" s="21" t="n">
        <v>0</v>
      </c>
      <c r="L124" s="21" t="n">
        <v>15048</v>
      </c>
      <c r="N124" s="21" t="n">
        <v>0.02</v>
      </c>
    </row>
    <row r="125" s="21" customFormat="true" ht="13.5" hidden="false" customHeight="true" outlineLevel="0" collapsed="false">
      <c r="A125" s="21" t="n">
        <v>4902</v>
      </c>
      <c r="B125" s="21" t="s">
        <v>535</v>
      </c>
      <c r="C125" s="21" t="n">
        <v>21</v>
      </c>
      <c r="G125" s="21" t="n">
        <v>0</v>
      </c>
      <c r="H125" s="21" t="n">
        <v>11</v>
      </c>
      <c r="J125" s="21" t="n">
        <v>2</v>
      </c>
      <c r="L125" s="21" t="n">
        <v>15330</v>
      </c>
      <c r="N125" s="21" t="n">
        <v>0.021</v>
      </c>
    </row>
    <row r="126" s="21" customFormat="true" ht="13.5" hidden="false" customHeight="true" outlineLevel="0" collapsed="false">
      <c r="A126" s="21" t="n">
        <v>4902</v>
      </c>
      <c r="B126" s="21" t="s">
        <v>535</v>
      </c>
      <c r="C126" s="21" t="n">
        <v>22</v>
      </c>
      <c r="G126" s="21" t="n">
        <v>0</v>
      </c>
      <c r="H126" s="21" t="n">
        <v>12</v>
      </c>
      <c r="J126" s="21" t="n">
        <v>2</v>
      </c>
      <c r="L126" s="21" t="n">
        <v>17184</v>
      </c>
      <c r="N126" s="21" t="n">
        <v>0.022</v>
      </c>
    </row>
    <row r="127" s="21" customFormat="true" ht="13.5" hidden="false" customHeight="true" outlineLevel="0" collapsed="false">
      <c r="A127" s="21" t="n">
        <v>4902</v>
      </c>
      <c r="B127" s="21" t="s">
        <v>535</v>
      </c>
      <c r="C127" s="21" t="n">
        <v>23</v>
      </c>
      <c r="G127" s="21" t="n">
        <v>0</v>
      </c>
      <c r="H127" s="21" t="n">
        <v>13</v>
      </c>
      <c r="J127" s="21" t="n">
        <v>2</v>
      </c>
      <c r="L127" s="21" t="n">
        <v>18090</v>
      </c>
      <c r="N127" s="21" t="n">
        <v>0.023</v>
      </c>
    </row>
    <row r="128" s="21" customFormat="true" ht="13.5" hidden="false" customHeight="true" outlineLevel="0" collapsed="false">
      <c r="A128" s="21" t="n">
        <v>4902</v>
      </c>
      <c r="B128" s="21" t="s">
        <v>535</v>
      </c>
      <c r="C128" s="21" t="n">
        <v>24</v>
      </c>
      <c r="G128" s="21" t="n">
        <v>0</v>
      </c>
      <c r="H128" s="21" t="n">
        <v>14</v>
      </c>
      <c r="J128" s="21" t="n">
        <v>2</v>
      </c>
      <c r="L128" s="21" t="n">
        <v>19536</v>
      </c>
      <c r="N128" s="21" t="n">
        <v>0.024</v>
      </c>
    </row>
    <row r="129" s="21" customFormat="true" ht="13.5" hidden="false" customHeight="true" outlineLevel="0" collapsed="false">
      <c r="A129" s="21" t="n">
        <v>4902</v>
      </c>
      <c r="B129" s="21" t="s">
        <v>535</v>
      </c>
      <c r="C129" s="21" t="n">
        <v>25</v>
      </c>
      <c r="G129" s="21" t="n">
        <v>0</v>
      </c>
      <c r="H129" s="21" t="n">
        <v>15</v>
      </c>
      <c r="J129" s="21" t="n">
        <v>2</v>
      </c>
      <c r="L129" s="21" t="n">
        <v>21120</v>
      </c>
      <c r="N129" s="21" t="n">
        <v>0.025</v>
      </c>
    </row>
    <row r="130" s="21" customFormat="true" ht="13.5" hidden="false" customHeight="true" outlineLevel="0" collapsed="false">
      <c r="A130" s="21" t="n">
        <v>4902</v>
      </c>
      <c r="B130" s="21" t="s">
        <v>535</v>
      </c>
      <c r="C130" s="21" t="n">
        <v>26</v>
      </c>
      <c r="G130" s="21" t="n">
        <v>0</v>
      </c>
      <c r="H130" s="21" t="n">
        <v>16</v>
      </c>
      <c r="J130" s="21" t="n">
        <v>2</v>
      </c>
      <c r="L130" s="21" t="n">
        <v>22128</v>
      </c>
      <c r="N130" s="21" t="n">
        <v>0.026</v>
      </c>
    </row>
    <row r="131" s="21" customFormat="true" ht="13.5" hidden="false" customHeight="true" outlineLevel="0" collapsed="false">
      <c r="A131" s="21" t="n">
        <v>4902</v>
      </c>
      <c r="B131" s="21" t="s">
        <v>535</v>
      </c>
      <c r="C131" s="21" t="n">
        <v>27</v>
      </c>
      <c r="G131" s="21" t="n">
        <v>0</v>
      </c>
      <c r="H131" s="21" t="n">
        <v>17</v>
      </c>
      <c r="J131" s="21" t="n">
        <v>2</v>
      </c>
      <c r="L131" s="21" t="n">
        <v>24972</v>
      </c>
      <c r="N131" s="21" t="n">
        <v>0.027</v>
      </c>
    </row>
    <row r="132" s="21" customFormat="true" ht="13.5" hidden="false" customHeight="true" outlineLevel="0" collapsed="false">
      <c r="A132" s="21" t="n">
        <v>4902</v>
      </c>
      <c r="B132" s="21" t="s">
        <v>535</v>
      </c>
      <c r="C132" s="21" t="n">
        <v>28</v>
      </c>
      <c r="G132" s="21" t="n">
        <v>0</v>
      </c>
      <c r="H132" s="21" t="n">
        <v>18</v>
      </c>
      <c r="J132" s="21" t="n">
        <v>2</v>
      </c>
      <c r="L132" s="21" t="n">
        <v>28068</v>
      </c>
      <c r="N132" s="21" t="n">
        <v>0.028</v>
      </c>
    </row>
    <row r="133" s="21" customFormat="true" ht="13.5" hidden="false" customHeight="true" outlineLevel="0" collapsed="false">
      <c r="A133" s="21" t="n">
        <v>4902</v>
      </c>
      <c r="B133" s="21" t="s">
        <v>535</v>
      </c>
      <c r="C133" s="21" t="n">
        <v>29</v>
      </c>
      <c r="G133" s="21" t="n">
        <v>0</v>
      </c>
      <c r="H133" s="21" t="n">
        <v>19</v>
      </c>
      <c r="J133" s="21" t="n">
        <v>2</v>
      </c>
      <c r="L133" s="21" t="n">
        <v>31464</v>
      </c>
      <c r="N133" s="21" t="n">
        <v>0.029</v>
      </c>
    </row>
    <row r="134" s="21" customFormat="true" ht="13.5" hidden="false" customHeight="true" outlineLevel="0" collapsed="false">
      <c r="A134" s="21" t="n">
        <v>4902</v>
      </c>
      <c r="B134" s="21" t="s">
        <v>535</v>
      </c>
      <c r="C134" s="21" t="n">
        <v>30</v>
      </c>
      <c r="G134" s="21" t="n">
        <v>0</v>
      </c>
      <c r="H134" s="21" t="n">
        <v>20</v>
      </c>
      <c r="J134" s="21" t="n">
        <v>2</v>
      </c>
      <c r="L134" s="21" t="n">
        <v>35148</v>
      </c>
      <c r="N134" s="21" t="n">
        <v>0.03</v>
      </c>
    </row>
    <row r="135" s="21" customFormat="true" ht="13.5" hidden="false" customHeight="true" outlineLevel="0" collapsed="false">
      <c r="A135" s="21" t="n">
        <v>4902</v>
      </c>
      <c r="B135" s="21" t="s">
        <v>535</v>
      </c>
      <c r="C135" s="21" t="n">
        <v>31</v>
      </c>
      <c r="G135" s="21" t="n">
        <v>0</v>
      </c>
      <c r="H135" s="21" t="n">
        <v>21</v>
      </c>
      <c r="J135" s="21" t="n">
        <v>2</v>
      </c>
      <c r="L135" s="21" t="n">
        <v>39144</v>
      </c>
      <c r="N135" s="21" t="n">
        <v>0.031</v>
      </c>
    </row>
    <row r="136" s="21" customFormat="true" ht="13.5" hidden="false" customHeight="true" outlineLevel="0" collapsed="false">
      <c r="A136" s="21" t="n">
        <v>4902</v>
      </c>
      <c r="B136" s="21" t="s">
        <v>535</v>
      </c>
      <c r="C136" s="21" t="n">
        <v>32</v>
      </c>
      <c r="G136" s="21" t="n">
        <v>0</v>
      </c>
      <c r="H136" s="21" t="n">
        <v>22</v>
      </c>
      <c r="J136" s="21" t="n">
        <v>2</v>
      </c>
      <c r="L136" s="21" t="n">
        <v>43464</v>
      </c>
      <c r="N136" s="21" t="n">
        <v>0.032</v>
      </c>
    </row>
    <row r="137" s="21" customFormat="true" ht="13.5" hidden="false" customHeight="true" outlineLevel="0" collapsed="false">
      <c r="A137" s="21" t="n">
        <v>4902</v>
      </c>
      <c r="B137" s="21" t="s">
        <v>535</v>
      </c>
      <c r="C137" s="21" t="n">
        <v>33</v>
      </c>
      <c r="G137" s="21" t="n">
        <v>0</v>
      </c>
      <c r="H137" s="21" t="n">
        <v>23</v>
      </c>
      <c r="J137" s="21" t="n">
        <v>2</v>
      </c>
      <c r="L137" s="21" t="n">
        <v>48156</v>
      </c>
      <c r="N137" s="21" t="n">
        <v>0.033</v>
      </c>
    </row>
    <row r="138" s="21" customFormat="true" ht="13.5" hidden="false" customHeight="true" outlineLevel="0" collapsed="false">
      <c r="A138" s="21" t="n">
        <v>4902</v>
      </c>
      <c r="B138" s="21" t="s">
        <v>535</v>
      </c>
      <c r="C138" s="21" t="n">
        <v>34</v>
      </c>
      <c r="G138" s="21" t="n">
        <v>0</v>
      </c>
      <c r="H138" s="21" t="n">
        <v>24</v>
      </c>
      <c r="J138" s="21" t="n">
        <v>2</v>
      </c>
      <c r="L138" s="21" t="n">
        <v>50232</v>
      </c>
      <c r="N138" s="21" t="n">
        <v>0.034</v>
      </c>
    </row>
    <row r="139" s="21" customFormat="true" ht="13.5" hidden="false" customHeight="true" outlineLevel="0" collapsed="false">
      <c r="A139" s="21" t="n">
        <v>4902</v>
      </c>
      <c r="B139" s="21" t="s">
        <v>535</v>
      </c>
      <c r="C139" s="21" t="n">
        <v>35</v>
      </c>
      <c r="G139" s="21" t="n">
        <v>0</v>
      </c>
      <c r="H139" s="21" t="n">
        <v>25</v>
      </c>
      <c r="J139" s="21" t="n">
        <v>2</v>
      </c>
      <c r="L139" s="21" t="n">
        <v>53196</v>
      </c>
      <c r="N139" s="21" t="n">
        <v>0.035</v>
      </c>
    </row>
    <row r="140" s="21" customFormat="true" ht="13.5" hidden="false" customHeight="true" outlineLevel="0" collapsed="false">
      <c r="A140" s="21" t="n">
        <v>4902</v>
      </c>
      <c r="B140" s="21" t="s">
        <v>535</v>
      </c>
      <c r="C140" s="21" t="n">
        <v>36</v>
      </c>
      <c r="G140" s="21" t="n">
        <v>0</v>
      </c>
      <c r="H140" s="21" t="n">
        <v>26</v>
      </c>
      <c r="J140" s="21" t="n">
        <v>2</v>
      </c>
      <c r="L140" s="21" t="n">
        <v>54576</v>
      </c>
      <c r="N140" s="21" t="n">
        <v>0.036</v>
      </c>
    </row>
    <row r="141" s="21" customFormat="true" ht="13.5" hidden="false" customHeight="true" outlineLevel="0" collapsed="false">
      <c r="A141" s="21" t="n">
        <v>4902</v>
      </c>
      <c r="B141" s="21" t="s">
        <v>535</v>
      </c>
      <c r="C141" s="21" t="n">
        <v>37</v>
      </c>
      <c r="G141" s="21" t="n">
        <v>0</v>
      </c>
      <c r="H141" s="21" t="n">
        <v>27</v>
      </c>
      <c r="J141" s="21" t="n">
        <v>2</v>
      </c>
      <c r="L141" s="21" t="n">
        <v>58644</v>
      </c>
      <c r="N141" s="21" t="n">
        <v>0.037</v>
      </c>
    </row>
    <row r="142" s="21" customFormat="true" ht="13.5" hidden="false" customHeight="true" outlineLevel="0" collapsed="false">
      <c r="A142" s="21" t="n">
        <v>4902</v>
      </c>
      <c r="B142" s="21" t="s">
        <v>535</v>
      </c>
      <c r="C142" s="21" t="n">
        <v>38</v>
      </c>
      <c r="G142" s="21" t="n">
        <v>0</v>
      </c>
      <c r="H142" s="21" t="n">
        <v>28</v>
      </c>
      <c r="J142" s="21" t="n">
        <v>2</v>
      </c>
      <c r="L142" s="21" t="n">
        <v>59202</v>
      </c>
      <c r="N142" s="21" t="n">
        <v>0.038</v>
      </c>
    </row>
    <row r="143" s="21" customFormat="true" ht="13.5" hidden="false" customHeight="true" outlineLevel="0" collapsed="false">
      <c r="A143" s="21" t="n">
        <v>4902</v>
      </c>
      <c r="B143" s="21" t="s">
        <v>535</v>
      </c>
      <c r="C143" s="21" t="n">
        <v>39</v>
      </c>
      <c r="G143" s="21" t="n">
        <v>0</v>
      </c>
      <c r="H143" s="21" t="n">
        <v>29</v>
      </c>
      <c r="J143" s="21" t="n">
        <v>2</v>
      </c>
      <c r="L143" s="21" t="n">
        <v>64116</v>
      </c>
      <c r="N143" s="21" t="n">
        <v>0.039</v>
      </c>
    </row>
    <row r="144" s="21" customFormat="true" ht="13.5" hidden="false" customHeight="true" outlineLevel="0" collapsed="false">
      <c r="A144" s="21" t="n">
        <v>4902</v>
      </c>
      <c r="B144" s="21" t="s">
        <v>535</v>
      </c>
      <c r="C144" s="21" t="n">
        <v>40</v>
      </c>
      <c r="G144" s="21" t="n">
        <v>0</v>
      </c>
      <c r="H144" s="21" t="n">
        <v>30</v>
      </c>
      <c r="J144" s="21" t="n">
        <v>2</v>
      </c>
      <c r="L144" s="21" t="n">
        <v>64404</v>
      </c>
      <c r="N144" s="21" t="n">
        <v>0.04</v>
      </c>
    </row>
    <row r="145" s="21" customFormat="true" ht="13.5" hidden="false" customHeight="true" outlineLevel="0" collapsed="false">
      <c r="A145" s="21" t="n">
        <v>4902</v>
      </c>
      <c r="B145" s="21" t="s">
        <v>535</v>
      </c>
      <c r="C145" s="21" t="n">
        <v>41</v>
      </c>
      <c r="G145" s="21" t="n">
        <v>0</v>
      </c>
      <c r="H145" s="21" t="n">
        <v>31</v>
      </c>
      <c r="J145" s="21" t="n">
        <v>6</v>
      </c>
      <c r="L145" s="21" t="n">
        <v>69324</v>
      </c>
      <c r="N145" s="21" t="n">
        <v>0.041</v>
      </c>
    </row>
    <row r="146" s="21" customFormat="true" ht="13.5" hidden="false" customHeight="true" outlineLevel="0" collapsed="false">
      <c r="A146" s="21" t="n">
        <v>4902</v>
      </c>
      <c r="B146" s="21" t="s">
        <v>535</v>
      </c>
      <c r="C146" s="21" t="n">
        <v>42</v>
      </c>
      <c r="G146" s="21" t="n">
        <v>0</v>
      </c>
      <c r="H146" s="21" t="n">
        <v>32</v>
      </c>
      <c r="J146" s="21" t="n">
        <v>12</v>
      </c>
      <c r="L146" s="21" t="n">
        <v>70752</v>
      </c>
      <c r="N146" s="21" t="n">
        <v>0.042</v>
      </c>
    </row>
    <row r="147" s="21" customFormat="true" ht="13.5" hidden="false" customHeight="true" outlineLevel="0" collapsed="false">
      <c r="A147" s="21" t="n">
        <v>4902</v>
      </c>
      <c r="B147" s="21" t="s">
        <v>535</v>
      </c>
      <c r="C147" s="21" t="n">
        <v>43</v>
      </c>
      <c r="G147" s="21" t="n">
        <v>0</v>
      </c>
      <c r="H147" s="21" t="n">
        <v>33</v>
      </c>
      <c r="J147" s="21" t="n">
        <v>18</v>
      </c>
      <c r="L147" s="21" t="n">
        <v>74844</v>
      </c>
      <c r="N147" s="21" t="n">
        <v>0.043</v>
      </c>
    </row>
    <row r="148" s="21" customFormat="true" ht="13.5" hidden="false" customHeight="true" outlineLevel="0" collapsed="false">
      <c r="A148" s="21" t="n">
        <v>4902</v>
      </c>
      <c r="B148" s="21" t="s">
        <v>535</v>
      </c>
      <c r="C148" s="21" t="n">
        <v>44</v>
      </c>
      <c r="G148" s="21" t="n">
        <v>0</v>
      </c>
      <c r="H148" s="21" t="n">
        <v>34</v>
      </c>
      <c r="J148" s="21" t="n">
        <v>24</v>
      </c>
      <c r="L148" s="21" t="n">
        <v>77448</v>
      </c>
      <c r="N148" s="21" t="n">
        <v>0.044</v>
      </c>
    </row>
    <row r="149" s="21" customFormat="true" ht="13.5" hidden="false" customHeight="true" outlineLevel="0" collapsed="false">
      <c r="A149" s="21" t="n">
        <v>4902</v>
      </c>
      <c r="B149" s="21" t="s">
        <v>535</v>
      </c>
      <c r="C149" s="21" t="n">
        <v>45</v>
      </c>
      <c r="G149" s="21" t="n">
        <v>0</v>
      </c>
      <c r="H149" s="21" t="n">
        <v>35</v>
      </c>
      <c r="J149" s="21" t="n">
        <v>30</v>
      </c>
      <c r="L149" s="21" t="n">
        <v>80682</v>
      </c>
      <c r="N149" s="21" t="n">
        <v>0.045</v>
      </c>
    </row>
    <row r="150" s="21" customFormat="true" ht="13.5" hidden="false" customHeight="true" outlineLevel="0" collapsed="false">
      <c r="A150" s="21" t="n">
        <v>4902</v>
      </c>
      <c r="B150" s="21" t="s">
        <v>535</v>
      </c>
      <c r="C150" s="21" t="n">
        <v>46</v>
      </c>
      <c r="G150" s="21" t="n">
        <v>0</v>
      </c>
      <c r="H150" s="21" t="n">
        <v>36</v>
      </c>
      <c r="J150" s="21" t="n">
        <v>36</v>
      </c>
      <c r="L150" s="21" t="n">
        <v>84624</v>
      </c>
      <c r="N150" s="21" t="n">
        <v>0.046</v>
      </c>
    </row>
    <row r="151" s="21" customFormat="true" ht="13.5" hidden="false" customHeight="true" outlineLevel="0" collapsed="false">
      <c r="A151" s="21" t="n">
        <v>4902</v>
      </c>
      <c r="B151" s="21" t="s">
        <v>535</v>
      </c>
      <c r="C151" s="21" t="n">
        <v>47</v>
      </c>
      <c r="G151" s="21" t="n">
        <v>0</v>
      </c>
      <c r="H151" s="21" t="n">
        <v>37</v>
      </c>
      <c r="J151" s="21" t="n">
        <v>42</v>
      </c>
      <c r="L151" s="21" t="n">
        <v>86856</v>
      </c>
      <c r="N151" s="21" t="n">
        <v>0.047</v>
      </c>
    </row>
    <row r="152" s="21" customFormat="true" ht="13.5" hidden="false" customHeight="true" outlineLevel="0" collapsed="false">
      <c r="A152" s="21" t="n">
        <v>4902</v>
      </c>
      <c r="B152" s="21" t="s">
        <v>535</v>
      </c>
      <c r="C152" s="21" t="n">
        <v>48</v>
      </c>
      <c r="G152" s="21" t="n">
        <v>0</v>
      </c>
      <c r="H152" s="21" t="n">
        <v>38</v>
      </c>
      <c r="J152" s="21" t="n">
        <v>48</v>
      </c>
      <c r="L152" s="21" t="n">
        <v>92292</v>
      </c>
      <c r="N152" s="21" t="n">
        <v>0.048</v>
      </c>
    </row>
    <row r="153" s="21" customFormat="true" ht="13.5" hidden="false" customHeight="true" outlineLevel="0" collapsed="false">
      <c r="A153" s="21" t="n">
        <v>4902</v>
      </c>
      <c r="B153" s="21" t="s">
        <v>535</v>
      </c>
      <c r="C153" s="21" t="n">
        <v>49</v>
      </c>
      <c r="G153" s="21" t="n">
        <v>0</v>
      </c>
      <c r="H153" s="21" t="n">
        <v>39</v>
      </c>
      <c r="J153" s="21" t="n">
        <v>54</v>
      </c>
      <c r="L153" s="21" t="n">
        <v>93372</v>
      </c>
      <c r="N153" s="21" t="n">
        <v>0.049</v>
      </c>
    </row>
    <row r="154" s="21" customFormat="true" ht="13.5" hidden="false" customHeight="true" outlineLevel="0" collapsed="false">
      <c r="A154" s="21" t="n">
        <v>4902</v>
      </c>
      <c r="B154" s="21" t="s">
        <v>535</v>
      </c>
      <c r="C154" s="21" t="n">
        <v>50</v>
      </c>
      <c r="G154" s="21" t="n">
        <v>0</v>
      </c>
      <c r="H154" s="21" t="n">
        <v>40</v>
      </c>
      <c r="J154" s="21" t="n">
        <v>60</v>
      </c>
      <c r="L154" s="21" t="n">
        <v>100254</v>
      </c>
      <c r="N154" s="21" t="n">
        <v>0.05</v>
      </c>
    </row>
    <row r="155" s="21" customFormat="true" ht="13.5" hidden="false" customHeight="true" outlineLevel="0" collapsed="false">
      <c r="A155" s="21" t="n">
        <v>4902</v>
      </c>
      <c r="B155" s="21" t="s">
        <v>535</v>
      </c>
      <c r="C155" s="21" t="n">
        <v>51</v>
      </c>
      <c r="G155" s="21" t="n">
        <v>0</v>
      </c>
      <c r="H155" s="21" t="n">
        <v>41</v>
      </c>
      <c r="J155" s="21" t="n">
        <v>66</v>
      </c>
      <c r="L155" s="21" t="n">
        <v>107502</v>
      </c>
      <c r="N155" s="21" t="n">
        <v>0.051</v>
      </c>
    </row>
    <row r="156" s="21" customFormat="true" ht="13.5" hidden="false" customHeight="true" outlineLevel="0" collapsed="false">
      <c r="A156" s="21" t="n">
        <v>4902</v>
      </c>
      <c r="B156" s="21" t="s">
        <v>535</v>
      </c>
      <c r="C156" s="21" t="n">
        <v>52</v>
      </c>
      <c r="G156" s="21" t="n">
        <v>0</v>
      </c>
      <c r="H156" s="21" t="n">
        <v>42</v>
      </c>
      <c r="J156" s="21" t="n">
        <v>72</v>
      </c>
      <c r="L156" s="21" t="n">
        <v>115140</v>
      </c>
      <c r="N156" s="21" t="n">
        <v>0.052</v>
      </c>
    </row>
    <row r="157" s="21" customFormat="true" ht="13.5" hidden="false" customHeight="true" outlineLevel="0" collapsed="false">
      <c r="A157" s="21" t="n">
        <v>4902</v>
      </c>
      <c r="B157" s="21" t="s">
        <v>535</v>
      </c>
      <c r="C157" s="21" t="n">
        <v>53</v>
      </c>
      <c r="G157" s="21" t="n">
        <v>0</v>
      </c>
      <c r="H157" s="21" t="n">
        <v>43</v>
      </c>
      <c r="J157" s="21" t="n">
        <v>78</v>
      </c>
      <c r="L157" s="21" t="n">
        <v>123174</v>
      </c>
      <c r="N157" s="21" t="n">
        <v>0.053</v>
      </c>
    </row>
    <row r="158" s="21" customFormat="true" ht="13.5" hidden="false" customHeight="true" outlineLevel="0" collapsed="false">
      <c r="A158" s="21" t="n">
        <v>4902</v>
      </c>
      <c r="B158" s="21" t="s">
        <v>535</v>
      </c>
      <c r="C158" s="21" t="n">
        <v>54</v>
      </c>
      <c r="G158" s="21" t="n">
        <v>0</v>
      </c>
      <c r="H158" s="21" t="n">
        <v>44</v>
      </c>
      <c r="J158" s="21" t="n">
        <v>84</v>
      </c>
      <c r="L158" s="21" t="n">
        <v>131616</v>
      </c>
      <c r="N158" s="21" t="n">
        <v>0.054</v>
      </c>
    </row>
    <row r="159" s="21" customFormat="true" ht="13.5" hidden="false" customHeight="true" outlineLevel="0" collapsed="false">
      <c r="A159" s="21" t="n">
        <v>4902</v>
      </c>
      <c r="B159" s="21" t="s">
        <v>535</v>
      </c>
      <c r="C159" s="21" t="n">
        <v>55</v>
      </c>
      <c r="G159" s="21" t="n">
        <v>0</v>
      </c>
      <c r="H159" s="21" t="n">
        <v>45</v>
      </c>
      <c r="J159" s="21" t="n">
        <v>90</v>
      </c>
      <c r="L159" s="21" t="n">
        <v>140484</v>
      </c>
      <c r="N159" s="21" t="n">
        <v>0.055</v>
      </c>
    </row>
    <row r="160" s="21" customFormat="true" ht="13.5" hidden="false" customHeight="true" outlineLevel="0" collapsed="false">
      <c r="A160" s="21" t="n">
        <v>4902</v>
      </c>
      <c r="B160" s="21" t="s">
        <v>535</v>
      </c>
      <c r="C160" s="21" t="n">
        <v>56</v>
      </c>
      <c r="G160" s="21" t="n">
        <v>0</v>
      </c>
      <c r="H160" s="21" t="n">
        <v>46</v>
      </c>
      <c r="J160" s="21" t="n">
        <v>96</v>
      </c>
      <c r="L160" s="21" t="n">
        <v>149796</v>
      </c>
      <c r="N160" s="21" t="n">
        <v>0.056</v>
      </c>
    </row>
    <row r="161" s="21" customFormat="true" ht="13.5" hidden="false" customHeight="true" outlineLevel="0" collapsed="false">
      <c r="A161" s="21" t="n">
        <v>4902</v>
      </c>
      <c r="B161" s="21" t="s">
        <v>535</v>
      </c>
      <c r="C161" s="21" t="n">
        <v>57</v>
      </c>
      <c r="G161" s="21" t="n">
        <v>0</v>
      </c>
      <c r="H161" s="21" t="n">
        <v>47</v>
      </c>
      <c r="J161" s="21" t="n">
        <v>102</v>
      </c>
      <c r="L161" s="21" t="n">
        <v>159558</v>
      </c>
      <c r="N161" s="21" t="n">
        <v>0.057</v>
      </c>
    </row>
    <row r="162" s="21" customFormat="true" ht="13.5" hidden="false" customHeight="true" outlineLevel="0" collapsed="false">
      <c r="A162" s="21" t="n">
        <v>4902</v>
      </c>
      <c r="B162" s="21" t="s">
        <v>535</v>
      </c>
      <c r="C162" s="21" t="n">
        <v>58</v>
      </c>
      <c r="G162" s="21" t="n">
        <v>0</v>
      </c>
      <c r="H162" s="21" t="n">
        <v>48</v>
      </c>
      <c r="J162" s="21" t="n">
        <v>108</v>
      </c>
      <c r="L162" s="21" t="n">
        <v>169788</v>
      </c>
      <c r="N162" s="21" t="n">
        <v>0.058</v>
      </c>
    </row>
    <row r="163" s="21" customFormat="true" ht="13.5" hidden="false" customHeight="true" outlineLevel="0" collapsed="false">
      <c r="A163" s="21" t="n">
        <v>4902</v>
      </c>
      <c r="B163" s="21" t="s">
        <v>535</v>
      </c>
      <c r="C163" s="21" t="n">
        <v>59</v>
      </c>
      <c r="G163" s="21" t="n">
        <v>0</v>
      </c>
      <c r="H163" s="21" t="n">
        <v>49</v>
      </c>
      <c r="J163" s="21" t="n">
        <v>114</v>
      </c>
      <c r="L163" s="21" t="n">
        <v>180504</v>
      </c>
      <c r="N163" s="21" t="n">
        <v>0.059</v>
      </c>
    </row>
    <row r="164" s="21" customFormat="true" ht="13.5" hidden="false" customHeight="true" outlineLevel="0" collapsed="false">
      <c r="A164" s="21" t="n">
        <v>4902</v>
      </c>
      <c r="B164" s="21" t="s">
        <v>535</v>
      </c>
      <c r="C164" s="21" t="n">
        <v>60</v>
      </c>
      <c r="G164" s="21" t="n">
        <v>0</v>
      </c>
      <c r="H164" s="21" t="n">
        <v>50</v>
      </c>
      <c r="J164" s="21" t="n">
        <v>120</v>
      </c>
      <c r="L164" s="21" t="n">
        <v>191712</v>
      </c>
      <c r="N164" s="21" t="n">
        <v>0.06</v>
      </c>
    </row>
    <row r="165" s="21" customFormat="true" ht="13.5" hidden="false" customHeight="true" outlineLevel="0" collapsed="false">
      <c r="A165" s="21" t="n">
        <v>4902</v>
      </c>
      <c r="B165" s="21" t="s">
        <v>535</v>
      </c>
      <c r="C165" s="21" t="n">
        <v>61</v>
      </c>
      <c r="G165" s="21" t="n">
        <v>1000</v>
      </c>
      <c r="H165" s="21" t="n">
        <v>51</v>
      </c>
      <c r="J165" s="21" t="n">
        <v>130</v>
      </c>
      <c r="L165" s="21" t="n">
        <v>203430</v>
      </c>
      <c r="N165" s="21" t="n">
        <v>0.061</v>
      </c>
    </row>
    <row r="166" s="21" customFormat="true" ht="13.5" hidden="false" customHeight="true" outlineLevel="0" collapsed="false">
      <c r="A166" s="21" t="n">
        <v>4902</v>
      </c>
      <c r="B166" s="21" t="s">
        <v>535</v>
      </c>
      <c r="C166" s="21" t="n">
        <v>62</v>
      </c>
      <c r="G166" s="21" t="n">
        <v>1500</v>
      </c>
      <c r="H166" s="21" t="n">
        <v>52</v>
      </c>
      <c r="J166" s="21" t="n">
        <v>140</v>
      </c>
      <c r="L166" s="21" t="n">
        <v>215676</v>
      </c>
      <c r="N166" s="21" t="n">
        <v>0.062</v>
      </c>
    </row>
    <row r="167" s="21" customFormat="true" ht="13.5" hidden="false" customHeight="true" outlineLevel="0" collapsed="false">
      <c r="A167" s="21" t="n">
        <v>4902</v>
      </c>
      <c r="B167" s="21" t="s">
        <v>535</v>
      </c>
      <c r="C167" s="21" t="n">
        <v>63</v>
      </c>
      <c r="G167" s="21" t="n">
        <v>2000</v>
      </c>
      <c r="H167" s="21" t="n">
        <v>53</v>
      </c>
      <c r="J167" s="21" t="n">
        <v>150</v>
      </c>
      <c r="L167" s="21" t="n">
        <v>228462</v>
      </c>
      <c r="N167" s="21" t="n">
        <v>0.063</v>
      </c>
    </row>
    <row r="168" s="21" customFormat="true" ht="13.5" hidden="false" customHeight="true" outlineLevel="0" collapsed="false">
      <c r="A168" s="21" t="n">
        <v>4902</v>
      </c>
      <c r="B168" s="21" t="s">
        <v>535</v>
      </c>
      <c r="C168" s="21" t="n">
        <v>64</v>
      </c>
      <c r="G168" s="21" t="n">
        <v>2500</v>
      </c>
      <c r="H168" s="21" t="n">
        <v>54</v>
      </c>
      <c r="J168" s="21" t="n">
        <v>160</v>
      </c>
      <c r="L168" s="21" t="n">
        <v>241812</v>
      </c>
      <c r="N168" s="21" t="n">
        <v>0.064</v>
      </c>
    </row>
    <row r="169" s="21" customFormat="true" ht="13.5" hidden="false" customHeight="true" outlineLevel="0" collapsed="false">
      <c r="A169" s="21" t="n">
        <v>4902</v>
      </c>
      <c r="B169" s="21" t="s">
        <v>535</v>
      </c>
      <c r="C169" s="21" t="n">
        <v>65</v>
      </c>
      <c r="G169" s="21" t="n">
        <v>3000</v>
      </c>
      <c r="H169" s="21" t="n">
        <v>55</v>
      </c>
      <c r="J169" s="21" t="n">
        <v>170</v>
      </c>
      <c r="L169" s="21" t="n">
        <v>255732</v>
      </c>
      <c r="N169" s="21" t="n">
        <v>0.065</v>
      </c>
    </row>
    <row r="170" s="21" customFormat="true" ht="13.5" hidden="false" customHeight="true" outlineLevel="0" collapsed="false">
      <c r="A170" s="21" t="n">
        <v>4902</v>
      </c>
      <c r="B170" s="21" t="s">
        <v>535</v>
      </c>
      <c r="C170" s="21" t="n">
        <v>66</v>
      </c>
      <c r="G170" s="21" t="n">
        <v>3500</v>
      </c>
      <c r="H170" s="21" t="n">
        <v>56</v>
      </c>
      <c r="J170" s="21" t="n">
        <v>180</v>
      </c>
      <c r="L170" s="21" t="n">
        <v>270246</v>
      </c>
      <c r="N170" s="21" t="n">
        <v>0.066</v>
      </c>
    </row>
    <row r="171" s="21" customFormat="true" ht="13.5" hidden="false" customHeight="true" outlineLevel="0" collapsed="false">
      <c r="A171" s="21" t="n">
        <v>4902</v>
      </c>
      <c r="B171" s="21" t="s">
        <v>535</v>
      </c>
      <c r="C171" s="21" t="n">
        <v>67</v>
      </c>
      <c r="G171" s="21" t="n">
        <v>4000</v>
      </c>
      <c r="H171" s="21" t="n">
        <v>57</v>
      </c>
      <c r="J171" s="21" t="n">
        <v>190</v>
      </c>
      <c r="L171" s="21" t="n">
        <v>285366</v>
      </c>
      <c r="N171" s="21" t="n">
        <v>0.067</v>
      </c>
    </row>
    <row r="172" s="21" customFormat="true" ht="13.5" hidden="false" customHeight="true" outlineLevel="0" collapsed="false">
      <c r="A172" s="21" t="n">
        <v>4902</v>
      </c>
      <c r="B172" s="21" t="s">
        <v>535</v>
      </c>
      <c r="C172" s="21" t="n">
        <v>68</v>
      </c>
      <c r="G172" s="21" t="n">
        <v>4500</v>
      </c>
      <c r="H172" s="21" t="n">
        <v>58</v>
      </c>
      <c r="J172" s="21" t="n">
        <v>200</v>
      </c>
      <c r="L172" s="21" t="n">
        <v>301110</v>
      </c>
      <c r="N172" s="21" t="n">
        <v>0.068</v>
      </c>
    </row>
    <row r="173" s="21" customFormat="true" ht="13.5" hidden="false" customHeight="true" outlineLevel="0" collapsed="false">
      <c r="A173" s="21" t="n">
        <v>4902</v>
      </c>
      <c r="B173" s="21" t="s">
        <v>535</v>
      </c>
      <c r="C173" s="21" t="n">
        <v>69</v>
      </c>
      <c r="G173" s="21" t="n">
        <v>5000</v>
      </c>
      <c r="H173" s="21" t="n">
        <v>59</v>
      </c>
      <c r="J173" s="21" t="n">
        <v>210</v>
      </c>
      <c r="L173" s="21" t="n">
        <v>317484</v>
      </c>
      <c r="N173" s="21" t="n">
        <v>0.069</v>
      </c>
    </row>
    <row r="174" s="21" customFormat="true" ht="13.5" hidden="false" customHeight="true" outlineLevel="0" collapsed="false">
      <c r="A174" s="21" t="n">
        <v>4902</v>
      </c>
      <c r="B174" s="21" t="s">
        <v>535</v>
      </c>
      <c r="C174" s="21" t="n">
        <v>70</v>
      </c>
      <c r="G174" s="21" t="n">
        <v>5500</v>
      </c>
      <c r="H174" s="21" t="n">
        <v>60</v>
      </c>
      <c r="J174" s="21" t="n">
        <v>220</v>
      </c>
      <c r="L174" s="21" t="n">
        <v>334524</v>
      </c>
      <c r="N174" s="21" t="n">
        <v>0.07</v>
      </c>
    </row>
    <row r="175" s="21" customFormat="true" ht="13.5" hidden="false" customHeight="true" outlineLevel="0" collapsed="false">
      <c r="A175" s="21" t="n">
        <v>4902</v>
      </c>
      <c r="B175" s="21" t="s">
        <v>535</v>
      </c>
      <c r="C175" s="21" t="n">
        <v>71</v>
      </c>
      <c r="G175" s="21" t="n">
        <v>6000</v>
      </c>
      <c r="H175" s="21" t="n">
        <v>61</v>
      </c>
      <c r="J175" s="21" t="n">
        <v>230</v>
      </c>
      <c r="L175" s="21" t="n">
        <v>352242</v>
      </c>
      <c r="N175" s="21" t="n">
        <v>0.071</v>
      </c>
    </row>
    <row r="176" s="21" customFormat="true" ht="13.5" hidden="false" customHeight="true" outlineLevel="0" collapsed="false">
      <c r="A176" s="21" t="n">
        <v>4902</v>
      </c>
      <c r="B176" s="21" t="s">
        <v>535</v>
      </c>
      <c r="C176" s="21" t="n">
        <v>72</v>
      </c>
      <c r="G176" s="21" t="n">
        <v>6500</v>
      </c>
      <c r="H176" s="21" t="n">
        <v>62</v>
      </c>
      <c r="J176" s="21" t="n">
        <v>240</v>
      </c>
      <c r="L176" s="21" t="n">
        <v>370644</v>
      </c>
      <c r="N176" s="21" t="n">
        <v>0.072</v>
      </c>
    </row>
    <row r="177" s="21" customFormat="true" ht="13.5" hidden="false" customHeight="true" outlineLevel="0" collapsed="false">
      <c r="A177" s="21" t="n">
        <v>4902</v>
      </c>
      <c r="B177" s="21" t="s">
        <v>535</v>
      </c>
      <c r="C177" s="21" t="n">
        <v>73</v>
      </c>
      <c r="G177" s="21" t="n">
        <v>7000</v>
      </c>
      <c r="H177" s="21" t="n">
        <v>63</v>
      </c>
      <c r="J177" s="21" t="n">
        <v>250</v>
      </c>
      <c r="L177" s="21" t="n">
        <v>389760</v>
      </c>
      <c r="N177" s="21" t="n">
        <v>0.073</v>
      </c>
    </row>
    <row r="178" s="21" customFormat="true" ht="13.5" hidden="false" customHeight="true" outlineLevel="0" collapsed="false">
      <c r="A178" s="21" t="n">
        <v>4902</v>
      </c>
      <c r="B178" s="21" t="s">
        <v>535</v>
      </c>
      <c r="C178" s="21" t="n">
        <v>74</v>
      </c>
      <c r="G178" s="21" t="n">
        <v>7500</v>
      </c>
      <c r="H178" s="21" t="n">
        <v>64</v>
      </c>
      <c r="J178" s="21" t="n">
        <v>260</v>
      </c>
      <c r="L178" s="21" t="n">
        <v>409596</v>
      </c>
      <c r="N178" s="21" t="n">
        <v>0.074</v>
      </c>
    </row>
    <row r="179" s="21" customFormat="true" ht="13.5" hidden="false" customHeight="true" outlineLevel="0" collapsed="false">
      <c r="A179" s="21" t="n">
        <v>4902</v>
      </c>
      <c r="B179" s="21" t="s">
        <v>535</v>
      </c>
      <c r="C179" s="21" t="n">
        <v>75</v>
      </c>
      <c r="G179" s="21" t="n">
        <v>8000</v>
      </c>
      <c r="H179" s="21" t="n">
        <v>65</v>
      </c>
      <c r="J179" s="21" t="n">
        <v>270</v>
      </c>
      <c r="L179" s="21" t="n">
        <v>430182</v>
      </c>
      <c r="N179" s="21" t="n">
        <v>0.075</v>
      </c>
    </row>
    <row r="180" s="21" customFormat="true" ht="13.5" hidden="false" customHeight="true" outlineLevel="0" collapsed="false">
      <c r="A180" s="21" t="n">
        <v>4902</v>
      </c>
      <c r="B180" s="21" t="s">
        <v>535</v>
      </c>
      <c r="C180" s="21" t="n">
        <v>76</v>
      </c>
      <c r="G180" s="21" t="n">
        <v>8500</v>
      </c>
      <c r="H180" s="21" t="n">
        <v>66</v>
      </c>
      <c r="J180" s="21" t="n">
        <v>280</v>
      </c>
      <c r="L180" s="21" t="n">
        <v>451536</v>
      </c>
      <c r="N180" s="21" t="n">
        <v>0.076</v>
      </c>
    </row>
    <row r="181" s="21" customFormat="true" ht="13.5" hidden="false" customHeight="true" outlineLevel="0" collapsed="false">
      <c r="A181" s="21" t="n">
        <v>4902</v>
      </c>
      <c r="B181" s="21" t="s">
        <v>535</v>
      </c>
      <c r="C181" s="21" t="n">
        <v>77</v>
      </c>
      <c r="G181" s="21" t="n">
        <v>9000</v>
      </c>
      <c r="H181" s="21" t="n">
        <v>67</v>
      </c>
      <c r="J181" s="21" t="n">
        <v>290</v>
      </c>
      <c r="L181" s="21" t="n">
        <v>473664</v>
      </c>
      <c r="N181" s="21" t="n">
        <v>0.077</v>
      </c>
    </row>
    <row r="182" s="21" customFormat="true" ht="13.5" hidden="false" customHeight="true" outlineLevel="0" collapsed="false">
      <c r="A182" s="21" t="n">
        <v>4902</v>
      </c>
      <c r="B182" s="21" t="s">
        <v>535</v>
      </c>
      <c r="C182" s="21" t="n">
        <v>78</v>
      </c>
      <c r="G182" s="21" t="n">
        <v>9500</v>
      </c>
      <c r="H182" s="21" t="n">
        <v>68</v>
      </c>
      <c r="J182" s="21" t="n">
        <v>300</v>
      </c>
      <c r="L182" s="21" t="n">
        <v>496596</v>
      </c>
      <c r="N182" s="21" t="n">
        <v>0.078</v>
      </c>
    </row>
    <row r="183" s="21" customFormat="true" ht="13.5" hidden="false" customHeight="true" outlineLevel="0" collapsed="false">
      <c r="A183" s="21" t="n">
        <v>4902</v>
      </c>
      <c r="B183" s="21" t="s">
        <v>535</v>
      </c>
      <c r="C183" s="21" t="n">
        <v>79</v>
      </c>
      <c r="G183" s="21" t="n">
        <v>10000</v>
      </c>
      <c r="H183" s="21" t="n">
        <v>69</v>
      </c>
      <c r="J183" s="21" t="n">
        <v>310</v>
      </c>
      <c r="L183" s="21" t="n">
        <v>520344</v>
      </c>
      <c r="N183" s="21" t="n">
        <v>0.079</v>
      </c>
    </row>
    <row r="184" s="21" customFormat="true" ht="13.5" hidden="false" customHeight="true" outlineLevel="0" collapsed="false">
      <c r="A184" s="21" t="n">
        <v>4902</v>
      </c>
      <c r="B184" s="21" t="s">
        <v>535</v>
      </c>
      <c r="C184" s="21" t="n">
        <v>80</v>
      </c>
      <c r="G184" s="21" t="n">
        <v>10500</v>
      </c>
      <c r="H184" s="21" t="n">
        <v>70</v>
      </c>
      <c r="J184" s="21" t="n">
        <v>330</v>
      </c>
      <c r="L184" s="21" t="n">
        <v>544938</v>
      </c>
      <c r="N184" s="21" t="n">
        <v>0.08</v>
      </c>
    </row>
    <row r="185" s="21" customFormat="true" ht="13.5" hidden="false" customHeight="true" outlineLevel="0" collapsed="false">
      <c r="A185" s="21" t="n">
        <v>4902</v>
      </c>
      <c r="B185" s="21" t="s">
        <v>535</v>
      </c>
      <c r="C185" s="21" t="n">
        <v>81</v>
      </c>
      <c r="G185" s="21" t="n">
        <v>11000</v>
      </c>
      <c r="H185" s="21" t="n">
        <v>71</v>
      </c>
      <c r="J185" s="21" t="n">
        <v>350</v>
      </c>
      <c r="L185" s="21" t="n">
        <v>570390</v>
      </c>
      <c r="N185" s="21" t="n">
        <v>0.081</v>
      </c>
    </row>
    <row r="186" s="21" customFormat="true" ht="13.5" hidden="false" customHeight="true" outlineLevel="0" collapsed="false">
      <c r="A186" s="21" t="n">
        <v>4902</v>
      </c>
      <c r="B186" s="21" t="s">
        <v>535</v>
      </c>
      <c r="C186" s="21" t="n">
        <v>82</v>
      </c>
      <c r="G186" s="21" t="n">
        <v>11500</v>
      </c>
      <c r="H186" s="21" t="n">
        <v>72</v>
      </c>
      <c r="J186" s="21" t="n">
        <v>370</v>
      </c>
      <c r="L186" s="21" t="n">
        <v>596712</v>
      </c>
      <c r="N186" s="21" t="n">
        <v>0.082</v>
      </c>
    </row>
    <row r="187" s="21" customFormat="true" ht="13.5" hidden="false" customHeight="true" outlineLevel="0" collapsed="false">
      <c r="A187" s="21" t="n">
        <v>4902</v>
      </c>
      <c r="B187" s="21" t="s">
        <v>535</v>
      </c>
      <c r="C187" s="21" t="n">
        <v>83</v>
      </c>
      <c r="G187" s="21" t="n">
        <v>12000</v>
      </c>
      <c r="H187" s="21" t="n">
        <v>73</v>
      </c>
      <c r="J187" s="21" t="n">
        <v>390</v>
      </c>
      <c r="L187" s="21" t="n">
        <v>623946</v>
      </c>
      <c r="N187" s="21" t="n">
        <v>0.083</v>
      </c>
    </row>
    <row r="188" s="21" customFormat="true" ht="13.5" hidden="false" customHeight="true" outlineLevel="0" collapsed="false">
      <c r="A188" s="21" t="n">
        <v>4902</v>
      </c>
      <c r="B188" s="21" t="s">
        <v>535</v>
      </c>
      <c r="C188" s="21" t="n">
        <v>84</v>
      </c>
      <c r="G188" s="21" t="n">
        <v>12500</v>
      </c>
      <c r="H188" s="21" t="n">
        <v>74</v>
      </c>
      <c r="J188" s="21" t="n">
        <v>410</v>
      </c>
      <c r="L188" s="21" t="n">
        <v>652086</v>
      </c>
      <c r="N188" s="21" t="n">
        <v>0.084</v>
      </c>
    </row>
    <row r="189" s="21" customFormat="true" ht="13.5" hidden="false" customHeight="true" outlineLevel="0" collapsed="false">
      <c r="A189" s="21" t="n">
        <v>4902</v>
      </c>
      <c r="B189" s="21" t="s">
        <v>535</v>
      </c>
      <c r="C189" s="21" t="n">
        <v>85</v>
      </c>
      <c r="G189" s="21" t="n">
        <v>13000</v>
      </c>
      <c r="H189" s="21" t="n">
        <v>75</v>
      </c>
      <c r="J189" s="21" t="n">
        <v>430</v>
      </c>
      <c r="L189" s="21" t="n">
        <v>681168</v>
      </c>
      <c r="N189" s="21" t="n">
        <v>0.085</v>
      </c>
    </row>
    <row r="190" s="21" customFormat="true" ht="13.5" hidden="false" customHeight="true" outlineLevel="0" collapsed="false">
      <c r="A190" s="21" t="n">
        <v>4902</v>
      </c>
      <c r="B190" s="21" t="s">
        <v>535</v>
      </c>
      <c r="C190" s="21" t="n">
        <v>86</v>
      </c>
      <c r="G190" s="21" t="n">
        <v>13500</v>
      </c>
      <c r="H190" s="21" t="n">
        <v>76</v>
      </c>
      <c r="J190" s="21" t="n">
        <v>450</v>
      </c>
      <c r="L190" s="21" t="n">
        <v>711210</v>
      </c>
      <c r="N190" s="21" t="n">
        <v>0.086</v>
      </c>
    </row>
    <row r="191" s="21" customFormat="true" ht="13.5" hidden="false" customHeight="true" outlineLevel="0" collapsed="false">
      <c r="A191" s="21" t="n">
        <v>4902</v>
      </c>
      <c r="B191" s="21" t="s">
        <v>535</v>
      </c>
      <c r="C191" s="21" t="n">
        <v>87</v>
      </c>
      <c r="G191" s="21" t="n">
        <v>14000</v>
      </c>
      <c r="H191" s="21" t="n">
        <v>77</v>
      </c>
      <c r="J191" s="21" t="n">
        <v>470</v>
      </c>
      <c r="L191" s="21" t="n">
        <v>742230</v>
      </c>
      <c r="N191" s="21" t="n">
        <v>0.087</v>
      </c>
    </row>
    <row r="192" s="21" customFormat="true" ht="13.5" hidden="false" customHeight="true" outlineLevel="0" collapsed="false">
      <c r="A192" s="21" t="n">
        <v>4902</v>
      </c>
      <c r="B192" s="21" t="s">
        <v>535</v>
      </c>
      <c r="C192" s="21" t="n">
        <v>88</v>
      </c>
      <c r="G192" s="21" t="n">
        <v>14500</v>
      </c>
      <c r="H192" s="21" t="n">
        <v>78</v>
      </c>
      <c r="J192" s="21" t="n">
        <v>490</v>
      </c>
      <c r="L192" s="21" t="n">
        <v>774252</v>
      </c>
      <c r="N192" s="21" t="n">
        <v>0.088</v>
      </c>
    </row>
    <row r="193" s="21" customFormat="true" ht="13.5" hidden="false" customHeight="true" outlineLevel="0" collapsed="false">
      <c r="A193" s="21" t="n">
        <v>4902</v>
      </c>
      <c r="B193" s="21" t="s">
        <v>535</v>
      </c>
      <c r="C193" s="21" t="n">
        <v>89</v>
      </c>
      <c r="G193" s="21" t="n">
        <v>15000</v>
      </c>
      <c r="H193" s="21" t="n">
        <v>79</v>
      </c>
      <c r="J193" s="21" t="n">
        <v>510</v>
      </c>
      <c r="L193" s="21" t="n">
        <v>807300</v>
      </c>
      <c r="N193" s="21" t="n">
        <v>0.089</v>
      </c>
    </row>
    <row r="194" s="21" customFormat="true" ht="13.5" hidden="false" customHeight="true" outlineLevel="0" collapsed="false">
      <c r="A194" s="21" t="n">
        <v>4902</v>
      </c>
      <c r="B194" s="21" t="s">
        <v>535</v>
      </c>
      <c r="C194" s="21" t="n">
        <v>90</v>
      </c>
      <c r="G194" s="21" t="n">
        <v>15500</v>
      </c>
      <c r="H194" s="21" t="n">
        <v>80</v>
      </c>
      <c r="J194" s="21" t="n">
        <v>530</v>
      </c>
      <c r="L194" s="21" t="n">
        <v>841386</v>
      </c>
      <c r="N194" s="21" t="n">
        <v>0.09</v>
      </c>
    </row>
    <row r="195" s="21" customFormat="true" ht="13.5" hidden="false" customHeight="true" outlineLevel="0" collapsed="false">
      <c r="A195" s="21" t="n">
        <v>4902</v>
      </c>
      <c r="B195" s="21" t="s">
        <v>535</v>
      </c>
      <c r="C195" s="21" t="n">
        <v>91</v>
      </c>
      <c r="G195" s="21" t="n">
        <v>16000</v>
      </c>
      <c r="H195" s="21" t="n">
        <v>81</v>
      </c>
      <c r="J195" s="21" t="n">
        <v>550</v>
      </c>
      <c r="L195" s="21" t="n">
        <v>876534</v>
      </c>
      <c r="N195" s="21" t="n">
        <v>0.091</v>
      </c>
    </row>
    <row r="196" s="21" customFormat="true" ht="13.5" hidden="false" customHeight="true" outlineLevel="0" collapsed="false">
      <c r="A196" s="21" t="n">
        <v>4902</v>
      </c>
      <c r="B196" s="21" t="s">
        <v>535</v>
      </c>
      <c r="C196" s="21" t="n">
        <v>92</v>
      </c>
      <c r="G196" s="21" t="n">
        <v>16500</v>
      </c>
      <c r="H196" s="21" t="n">
        <v>82</v>
      </c>
      <c r="J196" s="21" t="n">
        <v>570</v>
      </c>
      <c r="L196" s="21" t="n">
        <v>912774</v>
      </c>
      <c r="N196" s="21" t="n">
        <v>0.092</v>
      </c>
    </row>
    <row r="197" s="21" customFormat="true" ht="13.5" hidden="false" customHeight="true" outlineLevel="0" collapsed="false">
      <c r="A197" s="21" t="n">
        <v>4902</v>
      </c>
      <c r="B197" s="21" t="s">
        <v>535</v>
      </c>
      <c r="C197" s="21" t="n">
        <v>93</v>
      </c>
      <c r="G197" s="21" t="n">
        <v>17000</v>
      </c>
      <c r="H197" s="21" t="n">
        <v>83</v>
      </c>
      <c r="J197" s="21" t="n">
        <v>590</v>
      </c>
      <c r="L197" s="21" t="n">
        <v>950124</v>
      </c>
      <c r="N197" s="21" t="n">
        <v>0.093</v>
      </c>
    </row>
    <row r="198" s="21" customFormat="true" ht="13.5" hidden="false" customHeight="true" outlineLevel="0" collapsed="false">
      <c r="A198" s="21" t="n">
        <v>4902</v>
      </c>
      <c r="B198" s="21" t="s">
        <v>535</v>
      </c>
      <c r="C198" s="21" t="n">
        <v>94</v>
      </c>
      <c r="G198" s="21" t="n">
        <v>17500</v>
      </c>
      <c r="H198" s="21" t="n">
        <v>84</v>
      </c>
      <c r="J198" s="21" t="n">
        <v>610</v>
      </c>
      <c r="L198" s="21" t="n">
        <v>988596</v>
      </c>
      <c r="N198" s="21" t="n">
        <v>0.094</v>
      </c>
    </row>
    <row r="199" s="21" customFormat="true" ht="13.5" hidden="false" customHeight="true" outlineLevel="0" collapsed="false">
      <c r="A199" s="21" t="n">
        <v>4902</v>
      </c>
      <c r="B199" s="21" t="s">
        <v>535</v>
      </c>
      <c r="C199" s="21" t="n">
        <v>95</v>
      </c>
      <c r="G199" s="21" t="n">
        <v>18000</v>
      </c>
      <c r="H199" s="21" t="n">
        <v>85</v>
      </c>
      <c r="J199" s="21" t="n">
        <v>630</v>
      </c>
      <c r="L199" s="21" t="n">
        <v>1028232</v>
      </c>
      <c r="N199" s="21" t="n">
        <v>0.095</v>
      </c>
    </row>
    <row r="200" s="21" customFormat="true" ht="13.5" hidden="false" customHeight="true" outlineLevel="0" collapsed="false">
      <c r="A200" s="21" t="n">
        <v>4902</v>
      </c>
      <c r="B200" s="21" t="s">
        <v>535</v>
      </c>
      <c r="C200" s="21" t="n">
        <v>96</v>
      </c>
      <c r="G200" s="21" t="n">
        <v>18500</v>
      </c>
      <c r="H200" s="21" t="n">
        <v>86</v>
      </c>
      <c r="J200" s="21" t="n">
        <v>650</v>
      </c>
      <c r="L200" s="21" t="n">
        <v>1069044</v>
      </c>
      <c r="N200" s="21" t="n">
        <v>0.096</v>
      </c>
    </row>
    <row r="201" s="21" customFormat="true" ht="13.5" hidden="false" customHeight="true" outlineLevel="0" collapsed="false">
      <c r="A201" s="21" t="n">
        <v>4902</v>
      </c>
      <c r="B201" s="21" t="s">
        <v>535</v>
      </c>
      <c r="C201" s="21" t="n">
        <v>97</v>
      </c>
      <c r="G201" s="21" t="n">
        <v>19000</v>
      </c>
      <c r="H201" s="21" t="n">
        <v>87</v>
      </c>
      <c r="J201" s="21" t="n">
        <v>670</v>
      </c>
      <c r="L201" s="21" t="n">
        <v>1111050</v>
      </c>
      <c r="N201" s="21" t="n">
        <v>0.097</v>
      </c>
    </row>
    <row r="202" s="21" customFormat="true" ht="13.5" hidden="false" customHeight="true" outlineLevel="0" collapsed="false">
      <c r="A202" s="21" t="n">
        <v>4902</v>
      </c>
      <c r="B202" s="21" t="s">
        <v>535</v>
      </c>
      <c r="C202" s="21" t="n">
        <v>98</v>
      </c>
      <c r="G202" s="21" t="n">
        <v>19500</v>
      </c>
      <c r="H202" s="21" t="n">
        <v>88</v>
      </c>
      <c r="J202" s="21" t="n">
        <v>690</v>
      </c>
      <c r="L202" s="21" t="n">
        <v>1154280</v>
      </c>
      <c r="N202" s="21" t="n">
        <v>0.098</v>
      </c>
    </row>
    <row r="203" s="21" customFormat="true" ht="13.5" hidden="false" customHeight="true" outlineLevel="0" collapsed="false">
      <c r="A203" s="21" t="n">
        <v>4902</v>
      </c>
      <c r="B203" s="21" t="s">
        <v>535</v>
      </c>
      <c r="C203" s="21" t="n">
        <v>99</v>
      </c>
      <c r="G203" s="21" t="n">
        <v>20000</v>
      </c>
      <c r="H203" s="21" t="n">
        <v>89</v>
      </c>
      <c r="J203" s="21" t="n">
        <v>710</v>
      </c>
      <c r="L203" s="21" t="n">
        <v>1198752</v>
      </c>
      <c r="N203" s="21" t="n">
        <v>0.099</v>
      </c>
    </row>
    <row r="204" s="21" customFormat="true" ht="13.5" hidden="false" customHeight="true" outlineLevel="0" collapsed="false">
      <c r="A204" s="21" t="n">
        <v>4902</v>
      </c>
      <c r="B204" s="21" t="s">
        <v>535</v>
      </c>
      <c r="C204" s="21" t="n">
        <v>100</v>
      </c>
      <c r="G204" s="21" t="n">
        <v>20500</v>
      </c>
      <c r="H204" s="21" t="n">
        <v>90</v>
      </c>
      <c r="J204" s="21" t="n">
        <v>730</v>
      </c>
      <c r="L204" s="21" t="n">
        <v>1244502</v>
      </c>
      <c r="N204" s="21" t="n">
        <v>0.1</v>
      </c>
    </row>
    <row r="205" s="22" customFormat="true" ht="13.5" hidden="false" customHeight="true" outlineLevel="0" collapsed="false">
      <c r="A205" s="22" t="n">
        <v>4903</v>
      </c>
      <c r="B205" s="22" t="s">
        <v>538</v>
      </c>
      <c r="C205" s="22" t="n">
        <v>1</v>
      </c>
      <c r="D205" s="22" t="s">
        <v>538</v>
      </c>
      <c r="E205" s="22" t="s">
        <v>539</v>
      </c>
      <c r="F205" s="22" t="s">
        <v>540</v>
      </c>
      <c r="G205" s="22" t="n">
        <v>0</v>
      </c>
      <c r="H205" s="22" t="n">
        <v>0</v>
      </c>
      <c r="J205" s="22" t="n">
        <v>0</v>
      </c>
      <c r="L205" s="22" t="n">
        <v>100</v>
      </c>
    </row>
    <row r="206" s="22" customFormat="true" ht="13.5" hidden="false" customHeight="true" outlineLevel="0" collapsed="false">
      <c r="A206" s="22" t="n">
        <v>4903</v>
      </c>
      <c r="B206" s="22" t="s">
        <v>538</v>
      </c>
      <c r="C206" s="22" t="n">
        <v>2</v>
      </c>
      <c r="G206" s="22" t="n">
        <v>0</v>
      </c>
      <c r="H206" s="22" t="n">
        <v>0</v>
      </c>
      <c r="J206" s="22" t="n">
        <v>0</v>
      </c>
      <c r="L206" s="22" t="n">
        <v>180</v>
      </c>
    </row>
    <row r="207" s="22" customFormat="true" ht="13.5" hidden="false" customHeight="true" outlineLevel="0" collapsed="false">
      <c r="A207" s="22" t="n">
        <v>4903</v>
      </c>
      <c r="B207" s="22" t="s">
        <v>538</v>
      </c>
      <c r="C207" s="22" t="n">
        <v>3</v>
      </c>
      <c r="G207" s="22" t="n">
        <v>0</v>
      </c>
      <c r="H207" s="22" t="n">
        <v>0</v>
      </c>
      <c r="J207" s="22" t="n">
        <v>0</v>
      </c>
      <c r="L207" s="22" t="n">
        <v>280</v>
      </c>
    </row>
    <row r="208" s="22" customFormat="true" ht="13.5" hidden="false" customHeight="true" outlineLevel="0" collapsed="false">
      <c r="A208" s="22" t="n">
        <v>4903</v>
      </c>
      <c r="B208" s="22" t="s">
        <v>538</v>
      </c>
      <c r="C208" s="22" t="n">
        <v>4</v>
      </c>
      <c r="G208" s="22" t="n">
        <v>0</v>
      </c>
      <c r="H208" s="22" t="n">
        <v>0</v>
      </c>
      <c r="J208" s="22" t="n">
        <v>0</v>
      </c>
      <c r="L208" s="22" t="n">
        <v>440</v>
      </c>
    </row>
    <row r="209" s="22" customFormat="true" ht="13.5" hidden="false" customHeight="true" outlineLevel="0" collapsed="false">
      <c r="A209" s="22" t="n">
        <v>4903</v>
      </c>
      <c r="B209" s="22" t="s">
        <v>538</v>
      </c>
      <c r="C209" s="22" t="n">
        <v>5</v>
      </c>
      <c r="G209" s="22" t="n">
        <v>0</v>
      </c>
      <c r="H209" s="22" t="n">
        <v>0</v>
      </c>
      <c r="J209" s="22" t="n">
        <v>0</v>
      </c>
      <c r="L209" s="22" t="n">
        <v>580</v>
      </c>
    </row>
    <row r="210" s="22" customFormat="true" ht="13.5" hidden="false" customHeight="true" outlineLevel="0" collapsed="false">
      <c r="A210" s="22" t="n">
        <v>4903</v>
      </c>
      <c r="B210" s="22" t="s">
        <v>538</v>
      </c>
      <c r="C210" s="22" t="n">
        <v>6</v>
      </c>
      <c r="G210" s="22" t="n">
        <v>0</v>
      </c>
      <c r="H210" s="22" t="n">
        <v>0</v>
      </c>
      <c r="J210" s="22" t="n">
        <v>0</v>
      </c>
      <c r="L210" s="22" t="n">
        <v>780</v>
      </c>
    </row>
    <row r="211" s="22" customFormat="true" ht="13.5" hidden="false" customHeight="true" outlineLevel="0" collapsed="false">
      <c r="A211" s="22" t="n">
        <v>4903</v>
      </c>
      <c r="B211" s="22" t="s">
        <v>538</v>
      </c>
      <c r="C211" s="22" t="n">
        <v>7</v>
      </c>
      <c r="G211" s="22" t="n">
        <v>0</v>
      </c>
      <c r="H211" s="22" t="n">
        <v>0</v>
      </c>
      <c r="J211" s="22" t="n">
        <v>0</v>
      </c>
      <c r="L211" s="22" t="n">
        <v>1020</v>
      </c>
    </row>
    <row r="212" s="22" customFormat="true" ht="13.5" hidden="false" customHeight="true" outlineLevel="0" collapsed="false">
      <c r="A212" s="22" t="n">
        <v>4903</v>
      </c>
      <c r="B212" s="22" t="s">
        <v>538</v>
      </c>
      <c r="C212" s="22" t="n">
        <v>8</v>
      </c>
      <c r="G212" s="22" t="n">
        <v>0</v>
      </c>
      <c r="H212" s="22" t="n">
        <v>0</v>
      </c>
      <c r="J212" s="22" t="n">
        <v>0</v>
      </c>
      <c r="L212" s="22" t="n">
        <v>1320</v>
      </c>
    </row>
    <row r="213" s="22" customFormat="true" ht="13.5" hidden="false" customHeight="true" outlineLevel="0" collapsed="false">
      <c r="A213" s="22" t="n">
        <v>4903</v>
      </c>
      <c r="B213" s="22" t="s">
        <v>538</v>
      </c>
      <c r="C213" s="22" t="n">
        <v>9</v>
      </c>
      <c r="G213" s="22" t="n">
        <v>0</v>
      </c>
      <c r="H213" s="22" t="n">
        <v>0</v>
      </c>
      <c r="J213" s="22" t="n">
        <v>0</v>
      </c>
      <c r="L213" s="22" t="n">
        <v>1700</v>
      </c>
    </row>
    <row r="214" s="22" customFormat="true" ht="13.5" hidden="false" customHeight="true" outlineLevel="0" collapsed="false">
      <c r="A214" s="22" t="n">
        <v>4903</v>
      </c>
      <c r="B214" s="22" t="s">
        <v>538</v>
      </c>
      <c r="C214" s="22" t="n">
        <v>10</v>
      </c>
      <c r="G214" s="22" t="n">
        <v>0</v>
      </c>
      <c r="H214" s="22" t="n">
        <v>0</v>
      </c>
      <c r="J214" s="22" t="n">
        <v>0</v>
      </c>
      <c r="L214" s="22" t="n">
        <v>2120</v>
      </c>
    </row>
    <row r="215" s="22" customFormat="true" ht="13.5" hidden="false" customHeight="true" outlineLevel="0" collapsed="false">
      <c r="A215" s="22" t="n">
        <v>4903</v>
      </c>
      <c r="B215" s="22" t="s">
        <v>538</v>
      </c>
      <c r="C215" s="22" t="n">
        <v>11</v>
      </c>
      <c r="G215" s="22" t="n">
        <v>0</v>
      </c>
      <c r="H215" s="22" t="n">
        <v>1</v>
      </c>
      <c r="J215" s="22" t="n">
        <v>0</v>
      </c>
      <c r="L215" s="22" t="n">
        <v>2680</v>
      </c>
    </row>
    <row r="216" s="22" customFormat="true" ht="13.5" hidden="false" customHeight="true" outlineLevel="0" collapsed="false">
      <c r="A216" s="22" t="n">
        <v>4903</v>
      </c>
      <c r="B216" s="22" t="s">
        <v>538</v>
      </c>
      <c r="C216" s="22" t="n">
        <v>12</v>
      </c>
      <c r="G216" s="22" t="n">
        <v>0</v>
      </c>
      <c r="H216" s="22" t="n">
        <v>2</v>
      </c>
      <c r="J216" s="22" t="n">
        <v>0</v>
      </c>
      <c r="L216" s="22" t="n">
        <v>3320</v>
      </c>
    </row>
    <row r="217" s="22" customFormat="true" ht="13.5" hidden="false" customHeight="true" outlineLevel="0" collapsed="false">
      <c r="A217" s="22" t="n">
        <v>4903</v>
      </c>
      <c r="B217" s="22" t="s">
        <v>538</v>
      </c>
      <c r="C217" s="22" t="n">
        <v>13</v>
      </c>
      <c r="G217" s="22" t="n">
        <v>0</v>
      </c>
      <c r="H217" s="22" t="n">
        <v>3</v>
      </c>
      <c r="J217" s="22" t="n">
        <v>0</v>
      </c>
      <c r="L217" s="22" t="n">
        <v>4080</v>
      </c>
    </row>
    <row r="218" s="22" customFormat="true" ht="13.5" hidden="false" customHeight="true" outlineLevel="0" collapsed="false">
      <c r="A218" s="22" t="n">
        <v>4903</v>
      </c>
      <c r="B218" s="22" t="s">
        <v>538</v>
      </c>
      <c r="C218" s="22" t="n">
        <v>14</v>
      </c>
      <c r="G218" s="22" t="n">
        <v>0</v>
      </c>
      <c r="H218" s="22" t="n">
        <v>4</v>
      </c>
      <c r="J218" s="22" t="n">
        <v>0</v>
      </c>
      <c r="L218" s="22" t="n">
        <v>4980</v>
      </c>
    </row>
    <row r="219" s="22" customFormat="true" ht="13.5" hidden="false" customHeight="true" outlineLevel="0" collapsed="false">
      <c r="A219" s="22" t="n">
        <v>4903</v>
      </c>
      <c r="B219" s="22" t="s">
        <v>538</v>
      </c>
      <c r="C219" s="22" t="n">
        <v>15</v>
      </c>
      <c r="G219" s="22" t="n">
        <v>0</v>
      </c>
      <c r="H219" s="22" t="n">
        <v>5</v>
      </c>
      <c r="J219" s="22" t="n">
        <v>0</v>
      </c>
      <c r="L219" s="22" t="n">
        <v>6020</v>
      </c>
    </row>
    <row r="220" s="22" customFormat="true" ht="13.5" hidden="false" customHeight="true" outlineLevel="0" collapsed="false">
      <c r="A220" s="22" t="n">
        <v>4903</v>
      </c>
      <c r="B220" s="22" t="s">
        <v>538</v>
      </c>
      <c r="C220" s="22" t="n">
        <v>16</v>
      </c>
      <c r="G220" s="22" t="n">
        <v>0</v>
      </c>
      <c r="H220" s="22" t="n">
        <v>6</v>
      </c>
      <c r="J220" s="22" t="n">
        <v>0</v>
      </c>
      <c r="L220" s="22" t="n">
        <v>7232</v>
      </c>
    </row>
    <row r="221" s="22" customFormat="true" ht="13.5" hidden="false" customHeight="true" outlineLevel="0" collapsed="false">
      <c r="A221" s="22" t="n">
        <v>4903</v>
      </c>
      <c r="B221" s="22" t="s">
        <v>538</v>
      </c>
      <c r="C221" s="22" t="n">
        <v>17</v>
      </c>
      <c r="G221" s="22" t="n">
        <v>0</v>
      </c>
      <c r="H221" s="22" t="n">
        <v>7</v>
      </c>
      <c r="J221" s="22" t="n">
        <v>0</v>
      </c>
      <c r="L221" s="22" t="n">
        <v>7240</v>
      </c>
    </row>
    <row r="222" s="22" customFormat="true" ht="13.5" hidden="false" customHeight="true" outlineLevel="0" collapsed="false">
      <c r="A222" s="22" t="n">
        <v>4903</v>
      </c>
      <c r="B222" s="22" t="s">
        <v>538</v>
      </c>
      <c r="C222" s="22" t="n">
        <v>18</v>
      </c>
      <c r="G222" s="22" t="n">
        <v>0</v>
      </c>
      <c r="H222" s="22" t="n">
        <v>8</v>
      </c>
      <c r="J222" s="22" t="n">
        <v>0</v>
      </c>
      <c r="L222" s="22" t="n">
        <v>8620</v>
      </c>
    </row>
    <row r="223" s="22" customFormat="true" ht="13.5" hidden="false" customHeight="true" outlineLevel="0" collapsed="false">
      <c r="A223" s="22" t="n">
        <v>4903</v>
      </c>
      <c r="B223" s="22" t="s">
        <v>538</v>
      </c>
      <c r="C223" s="22" t="n">
        <v>19</v>
      </c>
      <c r="G223" s="22" t="n">
        <v>0</v>
      </c>
      <c r="H223" s="22" t="n">
        <v>9</v>
      </c>
      <c r="J223" s="22" t="n">
        <v>0</v>
      </c>
      <c r="L223" s="22" t="n">
        <v>8752</v>
      </c>
    </row>
    <row r="224" s="22" customFormat="true" ht="13.5" hidden="false" customHeight="true" outlineLevel="0" collapsed="false">
      <c r="A224" s="22" t="n">
        <v>4903</v>
      </c>
      <c r="B224" s="22" t="s">
        <v>538</v>
      </c>
      <c r="C224" s="22" t="n">
        <v>20</v>
      </c>
      <c r="G224" s="22" t="n">
        <v>0</v>
      </c>
      <c r="H224" s="22" t="n">
        <v>10</v>
      </c>
      <c r="J224" s="22" t="n">
        <v>0</v>
      </c>
      <c r="L224" s="22" t="n">
        <v>10032</v>
      </c>
    </row>
    <row r="225" s="22" customFormat="true" ht="13.5" hidden="false" customHeight="true" outlineLevel="0" collapsed="false">
      <c r="A225" s="22" t="n">
        <v>4903</v>
      </c>
      <c r="B225" s="22" t="s">
        <v>538</v>
      </c>
      <c r="C225" s="22" t="n">
        <v>21</v>
      </c>
      <c r="G225" s="22" t="n">
        <v>0</v>
      </c>
      <c r="H225" s="22" t="n">
        <v>11</v>
      </c>
      <c r="J225" s="22" t="n">
        <v>1</v>
      </c>
      <c r="L225" s="22" t="n">
        <v>10220</v>
      </c>
    </row>
    <row r="226" s="22" customFormat="true" ht="13.5" hidden="false" customHeight="true" outlineLevel="0" collapsed="false">
      <c r="A226" s="22" t="n">
        <v>4903</v>
      </c>
      <c r="B226" s="22" t="s">
        <v>538</v>
      </c>
      <c r="C226" s="22" t="n">
        <v>22</v>
      </c>
      <c r="G226" s="22" t="n">
        <v>0</v>
      </c>
      <c r="H226" s="22" t="n">
        <v>12</v>
      </c>
      <c r="J226" s="22" t="n">
        <v>1</v>
      </c>
      <c r="L226" s="22" t="n">
        <v>11456</v>
      </c>
    </row>
    <row r="227" s="22" customFormat="true" ht="13.5" hidden="false" customHeight="true" outlineLevel="0" collapsed="false">
      <c r="A227" s="22" t="n">
        <v>4903</v>
      </c>
      <c r="B227" s="22" t="s">
        <v>538</v>
      </c>
      <c r="C227" s="22" t="n">
        <v>23</v>
      </c>
      <c r="G227" s="22" t="n">
        <v>0</v>
      </c>
      <c r="H227" s="22" t="n">
        <v>13</v>
      </c>
      <c r="J227" s="22" t="n">
        <v>1</v>
      </c>
      <c r="L227" s="22" t="n">
        <v>12060</v>
      </c>
    </row>
    <row r="228" s="22" customFormat="true" ht="13.5" hidden="false" customHeight="true" outlineLevel="0" collapsed="false">
      <c r="A228" s="22" t="n">
        <v>4903</v>
      </c>
      <c r="B228" s="22" t="s">
        <v>538</v>
      </c>
      <c r="C228" s="22" t="n">
        <v>24</v>
      </c>
      <c r="G228" s="22" t="n">
        <v>0</v>
      </c>
      <c r="H228" s="22" t="n">
        <v>14</v>
      </c>
      <c r="J228" s="22" t="n">
        <v>1</v>
      </c>
      <c r="L228" s="22" t="n">
        <v>13024</v>
      </c>
    </row>
    <row r="229" s="22" customFormat="true" ht="13.5" hidden="false" customHeight="true" outlineLevel="0" collapsed="false">
      <c r="A229" s="22" t="n">
        <v>4903</v>
      </c>
      <c r="B229" s="22" t="s">
        <v>538</v>
      </c>
      <c r="C229" s="22" t="n">
        <v>25</v>
      </c>
      <c r="G229" s="22" t="n">
        <v>0</v>
      </c>
      <c r="H229" s="22" t="n">
        <v>15</v>
      </c>
      <c r="J229" s="22" t="n">
        <v>1</v>
      </c>
      <c r="L229" s="22" t="n">
        <v>14080</v>
      </c>
    </row>
    <row r="230" s="22" customFormat="true" ht="13.5" hidden="false" customHeight="true" outlineLevel="0" collapsed="false">
      <c r="A230" s="22" t="n">
        <v>4903</v>
      </c>
      <c r="B230" s="22" t="s">
        <v>538</v>
      </c>
      <c r="C230" s="22" t="n">
        <v>26</v>
      </c>
      <c r="G230" s="22" t="n">
        <v>0</v>
      </c>
      <c r="H230" s="22" t="n">
        <v>16</v>
      </c>
      <c r="J230" s="22" t="n">
        <v>1</v>
      </c>
      <c r="L230" s="22" t="n">
        <v>14752</v>
      </c>
    </row>
    <row r="231" s="22" customFormat="true" ht="13.5" hidden="false" customHeight="true" outlineLevel="0" collapsed="false">
      <c r="A231" s="22" t="n">
        <v>4903</v>
      </c>
      <c r="B231" s="22" t="s">
        <v>538</v>
      </c>
      <c r="C231" s="22" t="n">
        <v>27</v>
      </c>
      <c r="G231" s="22" t="n">
        <v>0</v>
      </c>
      <c r="H231" s="22" t="n">
        <v>17</v>
      </c>
      <c r="J231" s="22" t="n">
        <v>1</v>
      </c>
      <c r="L231" s="22" t="n">
        <v>16648</v>
      </c>
    </row>
    <row r="232" s="22" customFormat="true" ht="13.5" hidden="false" customHeight="true" outlineLevel="0" collapsed="false">
      <c r="A232" s="22" t="n">
        <v>4903</v>
      </c>
      <c r="B232" s="22" t="s">
        <v>538</v>
      </c>
      <c r="C232" s="22" t="n">
        <v>28</v>
      </c>
      <c r="G232" s="22" t="n">
        <v>0</v>
      </c>
      <c r="H232" s="22" t="n">
        <v>18</v>
      </c>
      <c r="J232" s="22" t="n">
        <v>1</v>
      </c>
      <c r="L232" s="22" t="n">
        <v>18712</v>
      </c>
    </row>
    <row r="233" s="22" customFormat="true" ht="13.5" hidden="false" customHeight="true" outlineLevel="0" collapsed="false">
      <c r="A233" s="22" t="n">
        <v>4903</v>
      </c>
      <c r="B233" s="22" t="s">
        <v>538</v>
      </c>
      <c r="C233" s="22" t="n">
        <v>29</v>
      </c>
      <c r="G233" s="22" t="n">
        <v>0</v>
      </c>
      <c r="H233" s="22" t="n">
        <v>19</v>
      </c>
      <c r="J233" s="22" t="n">
        <v>1</v>
      </c>
      <c r="L233" s="22" t="n">
        <v>20976</v>
      </c>
    </row>
    <row r="234" s="22" customFormat="true" ht="13.5" hidden="false" customHeight="true" outlineLevel="0" collapsed="false">
      <c r="A234" s="22" t="n">
        <v>4903</v>
      </c>
      <c r="B234" s="22" t="s">
        <v>538</v>
      </c>
      <c r="C234" s="22" t="n">
        <v>30</v>
      </c>
      <c r="G234" s="22" t="n">
        <v>0</v>
      </c>
      <c r="H234" s="22" t="n">
        <v>20</v>
      </c>
      <c r="J234" s="22" t="n">
        <v>1</v>
      </c>
      <c r="L234" s="22" t="n">
        <v>23432</v>
      </c>
    </row>
    <row r="235" s="22" customFormat="true" ht="13.5" hidden="false" customHeight="true" outlineLevel="0" collapsed="false">
      <c r="A235" s="22" t="n">
        <v>4903</v>
      </c>
      <c r="B235" s="22" t="s">
        <v>538</v>
      </c>
      <c r="C235" s="22" t="n">
        <v>31</v>
      </c>
      <c r="G235" s="22" t="n">
        <v>0</v>
      </c>
      <c r="H235" s="22" t="n">
        <v>21</v>
      </c>
      <c r="J235" s="22" t="n">
        <v>1</v>
      </c>
      <c r="L235" s="22" t="n">
        <v>26096</v>
      </c>
    </row>
    <row r="236" s="22" customFormat="true" ht="13.5" hidden="false" customHeight="true" outlineLevel="0" collapsed="false">
      <c r="A236" s="22" t="n">
        <v>4903</v>
      </c>
      <c r="B236" s="22" t="s">
        <v>538</v>
      </c>
      <c r="C236" s="22" t="n">
        <v>32</v>
      </c>
      <c r="G236" s="22" t="n">
        <v>0</v>
      </c>
      <c r="H236" s="22" t="n">
        <v>22</v>
      </c>
      <c r="J236" s="22" t="n">
        <v>1</v>
      </c>
      <c r="L236" s="22" t="n">
        <v>28976</v>
      </c>
    </row>
    <row r="237" s="22" customFormat="true" ht="13.5" hidden="false" customHeight="true" outlineLevel="0" collapsed="false">
      <c r="A237" s="22" t="n">
        <v>4903</v>
      </c>
      <c r="B237" s="22" t="s">
        <v>538</v>
      </c>
      <c r="C237" s="22" t="n">
        <v>33</v>
      </c>
      <c r="G237" s="22" t="n">
        <v>0</v>
      </c>
      <c r="H237" s="22" t="n">
        <v>23</v>
      </c>
      <c r="J237" s="22" t="n">
        <v>1</v>
      </c>
      <c r="L237" s="22" t="n">
        <v>32104</v>
      </c>
    </row>
    <row r="238" s="22" customFormat="true" ht="13.5" hidden="false" customHeight="true" outlineLevel="0" collapsed="false">
      <c r="A238" s="22" t="n">
        <v>4903</v>
      </c>
      <c r="B238" s="22" t="s">
        <v>538</v>
      </c>
      <c r="C238" s="22" t="n">
        <v>34</v>
      </c>
      <c r="G238" s="22" t="n">
        <v>0</v>
      </c>
      <c r="H238" s="22" t="n">
        <v>24</v>
      </c>
      <c r="J238" s="22" t="n">
        <v>1</v>
      </c>
      <c r="L238" s="22" t="n">
        <v>33488</v>
      </c>
    </row>
    <row r="239" s="22" customFormat="true" ht="13.5" hidden="false" customHeight="true" outlineLevel="0" collapsed="false">
      <c r="A239" s="22" t="n">
        <v>4903</v>
      </c>
      <c r="B239" s="22" t="s">
        <v>538</v>
      </c>
      <c r="C239" s="22" t="n">
        <v>35</v>
      </c>
      <c r="G239" s="22" t="n">
        <v>0</v>
      </c>
      <c r="H239" s="22" t="n">
        <v>25</v>
      </c>
      <c r="J239" s="22" t="n">
        <v>1</v>
      </c>
      <c r="L239" s="22" t="n">
        <v>35464</v>
      </c>
    </row>
    <row r="240" s="22" customFormat="true" ht="13.5" hidden="false" customHeight="true" outlineLevel="0" collapsed="false">
      <c r="A240" s="22" t="n">
        <v>4903</v>
      </c>
      <c r="B240" s="22" t="s">
        <v>538</v>
      </c>
      <c r="C240" s="22" t="n">
        <v>36</v>
      </c>
      <c r="G240" s="22" t="n">
        <v>0</v>
      </c>
      <c r="H240" s="22" t="n">
        <v>26</v>
      </c>
      <c r="J240" s="22" t="n">
        <v>1</v>
      </c>
      <c r="L240" s="22" t="n">
        <v>36384</v>
      </c>
    </row>
    <row r="241" s="22" customFormat="true" ht="13.5" hidden="false" customHeight="true" outlineLevel="0" collapsed="false">
      <c r="A241" s="22" t="n">
        <v>4903</v>
      </c>
      <c r="B241" s="22" t="s">
        <v>538</v>
      </c>
      <c r="C241" s="22" t="n">
        <v>37</v>
      </c>
      <c r="G241" s="22" t="n">
        <v>0</v>
      </c>
      <c r="H241" s="22" t="n">
        <v>27</v>
      </c>
      <c r="J241" s="22" t="n">
        <v>1</v>
      </c>
      <c r="L241" s="22" t="n">
        <v>39096</v>
      </c>
    </row>
    <row r="242" s="22" customFormat="true" ht="13.5" hidden="false" customHeight="true" outlineLevel="0" collapsed="false">
      <c r="A242" s="22" t="n">
        <v>4903</v>
      </c>
      <c r="B242" s="22" t="s">
        <v>538</v>
      </c>
      <c r="C242" s="22" t="n">
        <v>38</v>
      </c>
      <c r="G242" s="22" t="n">
        <v>0</v>
      </c>
      <c r="H242" s="22" t="n">
        <v>28</v>
      </c>
      <c r="J242" s="22" t="n">
        <v>1</v>
      </c>
      <c r="L242" s="22" t="n">
        <v>39468</v>
      </c>
    </row>
    <row r="243" s="22" customFormat="true" ht="13.5" hidden="false" customHeight="true" outlineLevel="0" collapsed="false">
      <c r="A243" s="22" t="n">
        <v>4903</v>
      </c>
      <c r="B243" s="22" t="s">
        <v>538</v>
      </c>
      <c r="C243" s="22" t="n">
        <v>39</v>
      </c>
      <c r="G243" s="22" t="n">
        <v>0</v>
      </c>
      <c r="H243" s="22" t="n">
        <v>29</v>
      </c>
      <c r="J243" s="22" t="n">
        <v>1</v>
      </c>
      <c r="L243" s="22" t="n">
        <v>42744</v>
      </c>
    </row>
    <row r="244" s="22" customFormat="true" ht="13.5" hidden="false" customHeight="true" outlineLevel="0" collapsed="false">
      <c r="A244" s="22" t="n">
        <v>4903</v>
      </c>
      <c r="B244" s="22" t="s">
        <v>538</v>
      </c>
      <c r="C244" s="22" t="n">
        <v>40</v>
      </c>
      <c r="G244" s="22" t="n">
        <v>0</v>
      </c>
      <c r="H244" s="22" t="n">
        <v>30</v>
      </c>
      <c r="J244" s="22" t="n">
        <v>1</v>
      </c>
      <c r="L244" s="22" t="n">
        <v>42936</v>
      </c>
    </row>
    <row r="245" s="22" customFormat="true" ht="13.5" hidden="false" customHeight="true" outlineLevel="0" collapsed="false">
      <c r="A245" s="22" t="n">
        <v>4903</v>
      </c>
      <c r="B245" s="22" t="s">
        <v>538</v>
      </c>
      <c r="C245" s="22" t="n">
        <v>41</v>
      </c>
      <c r="G245" s="22" t="n">
        <v>0</v>
      </c>
      <c r="H245" s="22" t="n">
        <v>31</v>
      </c>
      <c r="J245" s="22" t="n">
        <v>3</v>
      </c>
      <c r="L245" s="22" t="n">
        <v>46216</v>
      </c>
    </row>
    <row r="246" s="22" customFormat="true" ht="13.5" hidden="false" customHeight="true" outlineLevel="0" collapsed="false">
      <c r="A246" s="22" t="n">
        <v>4903</v>
      </c>
      <c r="B246" s="22" t="s">
        <v>538</v>
      </c>
      <c r="C246" s="22" t="n">
        <v>42</v>
      </c>
      <c r="G246" s="22" t="n">
        <v>0</v>
      </c>
      <c r="H246" s="22" t="n">
        <v>32</v>
      </c>
      <c r="J246" s="22" t="n">
        <v>6</v>
      </c>
      <c r="L246" s="22" t="n">
        <v>47168</v>
      </c>
    </row>
    <row r="247" s="22" customFormat="true" ht="13.5" hidden="false" customHeight="true" outlineLevel="0" collapsed="false">
      <c r="A247" s="22" t="n">
        <v>4903</v>
      </c>
      <c r="B247" s="22" t="s">
        <v>538</v>
      </c>
      <c r="C247" s="22" t="n">
        <v>43</v>
      </c>
      <c r="G247" s="22" t="n">
        <v>0</v>
      </c>
      <c r="H247" s="22" t="n">
        <v>33</v>
      </c>
      <c r="J247" s="22" t="n">
        <v>9</v>
      </c>
      <c r="L247" s="22" t="n">
        <v>49896</v>
      </c>
    </row>
    <row r="248" s="22" customFormat="true" ht="13.5" hidden="false" customHeight="true" outlineLevel="0" collapsed="false">
      <c r="A248" s="22" t="n">
        <v>4903</v>
      </c>
      <c r="B248" s="22" t="s">
        <v>538</v>
      </c>
      <c r="C248" s="22" t="n">
        <v>44</v>
      </c>
      <c r="G248" s="22" t="n">
        <v>0</v>
      </c>
      <c r="H248" s="22" t="n">
        <v>34</v>
      </c>
      <c r="J248" s="22" t="n">
        <v>12</v>
      </c>
      <c r="L248" s="22" t="n">
        <v>51632</v>
      </c>
    </row>
    <row r="249" s="22" customFormat="true" ht="13.5" hidden="false" customHeight="true" outlineLevel="0" collapsed="false">
      <c r="A249" s="22" t="n">
        <v>4903</v>
      </c>
      <c r="B249" s="22" t="s">
        <v>538</v>
      </c>
      <c r="C249" s="22" t="n">
        <v>45</v>
      </c>
      <c r="G249" s="22" t="n">
        <v>0</v>
      </c>
      <c r="H249" s="22" t="n">
        <v>35</v>
      </c>
      <c r="J249" s="22" t="n">
        <v>15</v>
      </c>
      <c r="L249" s="22" t="n">
        <v>53788</v>
      </c>
    </row>
    <row r="250" s="22" customFormat="true" ht="13.5" hidden="false" customHeight="true" outlineLevel="0" collapsed="false">
      <c r="A250" s="22" t="n">
        <v>4903</v>
      </c>
      <c r="B250" s="22" t="s">
        <v>538</v>
      </c>
      <c r="C250" s="22" t="n">
        <v>46</v>
      </c>
      <c r="G250" s="22" t="n">
        <v>0</v>
      </c>
      <c r="H250" s="22" t="n">
        <v>36</v>
      </c>
      <c r="J250" s="22" t="n">
        <v>18</v>
      </c>
      <c r="L250" s="22" t="n">
        <v>56416</v>
      </c>
    </row>
    <row r="251" s="22" customFormat="true" ht="13.5" hidden="false" customHeight="true" outlineLevel="0" collapsed="false">
      <c r="A251" s="22" t="n">
        <v>4903</v>
      </c>
      <c r="B251" s="22" t="s">
        <v>538</v>
      </c>
      <c r="C251" s="22" t="n">
        <v>47</v>
      </c>
      <c r="G251" s="22" t="n">
        <v>0</v>
      </c>
      <c r="H251" s="22" t="n">
        <v>37</v>
      </c>
      <c r="J251" s="22" t="n">
        <v>21</v>
      </c>
      <c r="L251" s="22" t="n">
        <v>57904</v>
      </c>
    </row>
    <row r="252" s="22" customFormat="true" ht="13.5" hidden="false" customHeight="true" outlineLevel="0" collapsed="false">
      <c r="A252" s="22" t="n">
        <v>4903</v>
      </c>
      <c r="B252" s="22" t="s">
        <v>538</v>
      </c>
      <c r="C252" s="22" t="n">
        <v>48</v>
      </c>
      <c r="G252" s="22" t="n">
        <v>0</v>
      </c>
      <c r="H252" s="22" t="n">
        <v>38</v>
      </c>
      <c r="J252" s="22" t="n">
        <v>24</v>
      </c>
      <c r="L252" s="22" t="n">
        <v>61528</v>
      </c>
    </row>
    <row r="253" s="22" customFormat="true" ht="13.5" hidden="false" customHeight="true" outlineLevel="0" collapsed="false">
      <c r="A253" s="22" t="n">
        <v>4903</v>
      </c>
      <c r="B253" s="22" t="s">
        <v>538</v>
      </c>
      <c r="C253" s="22" t="n">
        <v>49</v>
      </c>
      <c r="G253" s="22" t="n">
        <v>0</v>
      </c>
      <c r="H253" s="22" t="n">
        <v>39</v>
      </c>
      <c r="J253" s="22" t="n">
        <v>27</v>
      </c>
      <c r="L253" s="22" t="n">
        <v>62248</v>
      </c>
    </row>
    <row r="254" s="22" customFormat="true" ht="13.5" hidden="false" customHeight="true" outlineLevel="0" collapsed="false">
      <c r="A254" s="22" t="n">
        <v>4903</v>
      </c>
      <c r="B254" s="22" t="s">
        <v>538</v>
      </c>
      <c r="C254" s="22" t="n">
        <v>50</v>
      </c>
      <c r="G254" s="22" t="n">
        <v>0</v>
      </c>
      <c r="H254" s="22" t="n">
        <v>40</v>
      </c>
      <c r="J254" s="22" t="n">
        <v>30</v>
      </c>
      <c r="L254" s="22" t="n">
        <v>66836</v>
      </c>
    </row>
    <row r="255" s="22" customFormat="true" ht="13.5" hidden="false" customHeight="true" outlineLevel="0" collapsed="false">
      <c r="A255" s="22" t="n">
        <v>4903</v>
      </c>
      <c r="B255" s="22" t="s">
        <v>538</v>
      </c>
      <c r="C255" s="22" t="n">
        <v>51</v>
      </c>
      <c r="G255" s="22" t="n">
        <v>0</v>
      </c>
      <c r="H255" s="22" t="n">
        <v>41</v>
      </c>
      <c r="J255" s="22" t="n">
        <v>33</v>
      </c>
      <c r="L255" s="22" t="n">
        <v>71668</v>
      </c>
    </row>
    <row r="256" s="22" customFormat="true" ht="13.5" hidden="false" customHeight="true" outlineLevel="0" collapsed="false">
      <c r="A256" s="22" t="n">
        <v>4903</v>
      </c>
      <c r="B256" s="22" t="s">
        <v>538</v>
      </c>
      <c r="C256" s="22" t="n">
        <v>52</v>
      </c>
      <c r="G256" s="22" t="n">
        <v>0</v>
      </c>
      <c r="H256" s="22" t="n">
        <v>42</v>
      </c>
      <c r="J256" s="22" t="n">
        <v>36</v>
      </c>
      <c r="L256" s="22" t="n">
        <v>76760</v>
      </c>
    </row>
    <row r="257" s="22" customFormat="true" ht="13.5" hidden="false" customHeight="true" outlineLevel="0" collapsed="false">
      <c r="A257" s="22" t="n">
        <v>4903</v>
      </c>
      <c r="B257" s="22" t="s">
        <v>538</v>
      </c>
      <c r="C257" s="22" t="n">
        <v>53</v>
      </c>
      <c r="G257" s="22" t="n">
        <v>0</v>
      </c>
      <c r="H257" s="22" t="n">
        <v>43</v>
      </c>
      <c r="J257" s="22" t="n">
        <v>39</v>
      </c>
      <c r="L257" s="22" t="n">
        <v>82116</v>
      </c>
    </row>
    <row r="258" s="22" customFormat="true" ht="13.5" hidden="false" customHeight="true" outlineLevel="0" collapsed="false">
      <c r="A258" s="22" t="n">
        <v>4903</v>
      </c>
      <c r="B258" s="22" t="s">
        <v>538</v>
      </c>
      <c r="C258" s="22" t="n">
        <v>54</v>
      </c>
      <c r="G258" s="22" t="n">
        <v>0</v>
      </c>
      <c r="H258" s="22" t="n">
        <v>44</v>
      </c>
      <c r="J258" s="22" t="n">
        <v>42</v>
      </c>
      <c r="L258" s="22" t="n">
        <v>87744</v>
      </c>
    </row>
    <row r="259" s="22" customFormat="true" ht="13.5" hidden="false" customHeight="true" outlineLevel="0" collapsed="false">
      <c r="A259" s="22" t="n">
        <v>4903</v>
      </c>
      <c r="B259" s="22" t="s">
        <v>538</v>
      </c>
      <c r="C259" s="22" t="n">
        <v>55</v>
      </c>
      <c r="G259" s="22" t="n">
        <v>0</v>
      </c>
      <c r="H259" s="22" t="n">
        <v>45</v>
      </c>
      <c r="J259" s="22" t="n">
        <v>45</v>
      </c>
      <c r="L259" s="22" t="n">
        <v>93656</v>
      </c>
    </row>
    <row r="260" s="22" customFormat="true" ht="13.5" hidden="false" customHeight="true" outlineLevel="0" collapsed="false">
      <c r="A260" s="22" t="n">
        <v>4903</v>
      </c>
      <c r="B260" s="22" t="s">
        <v>538</v>
      </c>
      <c r="C260" s="22" t="n">
        <v>56</v>
      </c>
      <c r="G260" s="22" t="n">
        <v>0</v>
      </c>
      <c r="H260" s="22" t="n">
        <v>46</v>
      </c>
      <c r="J260" s="22" t="n">
        <v>48</v>
      </c>
      <c r="L260" s="22" t="n">
        <v>99864</v>
      </c>
    </row>
    <row r="261" s="22" customFormat="true" ht="13.5" hidden="false" customHeight="true" outlineLevel="0" collapsed="false">
      <c r="A261" s="22" t="n">
        <v>4903</v>
      </c>
      <c r="B261" s="22" t="s">
        <v>538</v>
      </c>
      <c r="C261" s="22" t="n">
        <v>57</v>
      </c>
      <c r="G261" s="22" t="n">
        <v>0</v>
      </c>
      <c r="H261" s="22" t="n">
        <v>47</v>
      </c>
      <c r="J261" s="22" t="n">
        <v>51</v>
      </c>
      <c r="L261" s="22" t="n">
        <v>106372</v>
      </c>
    </row>
    <row r="262" s="22" customFormat="true" ht="13.5" hidden="false" customHeight="true" outlineLevel="0" collapsed="false">
      <c r="A262" s="22" t="n">
        <v>4903</v>
      </c>
      <c r="B262" s="22" t="s">
        <v>538</v>
      </c>
      <c r="C262" s="22" t="n">
        <v>58</v>
      </c>
      <c r="G262" s="22" t="n">
        <v>0</v>
      </c>
      <c r="H262" s="22" t="n">
        <v>48</v>
      </c>
      <c r="J262" s="22" t="n">
        <v>54</v>
      </c>
      <c r="L262" s="22" t="n">
        <v>113192</v>
      </c>
    </row>
    <row r="263" s="22" customFormat="true" ht="13.5" hidden="false" customHeight="true" outlineLevel="0" collapsed="false">
      <c r="A263" s="22" t="n">
        <v>4903</v>
      </c>
      <c r="B263" s="22" t="s">
        <v>538</v>
      </c>
      <c r="C263" s="22" t="n">
        <v>59</v>
      </c>
      <c r="G263" s="22" t="n">
        <v>0</v>
      </c>
      <c r="H263" s="22" t="n">
        <v>49</v>
      </c>
      <c r="J263" s="22" t="n">
        <v>57</v>
      </c>
      <c r="L263" s="22" t="n">
        <v>120336</v>
      </c>
    </row>
    <row r="264" s="22" customFormat="true" ht="13.5" hidden="false" customHeight="true" outlineLevel="0" collapsed="false">
      <c r="A264" s="22" t="n">
        <v>4903</v>
      </c>
      <c r="B264" s="22" t="s">
        <v>538</v>
      </c>
      <c r="C264" s="22" t="n">
        <v>60</v>
      </c>
      <c r="G264" s="22" t="n">
        <v>0</v>
      </c>
      <c r="H264" s="22" t="n">
        <v>50</v>
      </c>
      <c r="J264" s="22" t="n">
        <v>60</v>
      </c>
      <c r="L264" s="22" t="n">
        <v>127808</v>
      </c>
    </row>
    <row r="265" s="22" customFormat="true" ht="13.5" hidden="false" customHeight="true" outlineLevel="0" collapsed="false">
      <c r="A265" s="22" t="n">
        <v>4903</v>
      </c>
      <c r="B265" s="22" t="s">
        <v>538</v>
      </c>
      <c r="C265" s="22" t="n">
        <v>61</v>
      </c>
      <c r="G265" s="22" t="n">
        <v>1000</v>
      </c>
      <c r="H265" s="22" t="n">
        <v>51</v>
      </c>
      <c r="J265" s="22" t="n">
        <v>65</v>
      </c>
      <c r="L265" s="22" t="n">
        <v>135620</v>
      </c>
    </row>
    <row r="266" s="22" customFormat="true" ht="13.5" hidden="false" customHeight="true" outlineLevel="0" collapsed="false">
      <c r="A266" s="22" t="n">
        <v>4903</v>
      </c>
      <c r="B266" s="22" t="s">
        <v>538</v>
      </c>
      <c r="C266" s="22" t="n">
        <v>62</v>
      </c>
      <c r="G266" s="22" t="n">
        <v>1500</v>
      </c>
      <c r="H266" s="22" t="n">
        <v>52</v>
      </c>
      <c r="J266" s="22" t="n">
        <v>70</v>
      </c>
      <c r="L266" s="22" t="n">
        <v>143784</v>
      </c>
    </row>
    <row r="267" s="22" customFormat="true" ht="13.5" hidden="false" customHeight="true" outlineLevel="0" collapsed="false">
      <c r="A267" s="22" t="n">
        <v>4903</v>
      </c>
      <c r="B267" s="22" t="s">
        <v>538</v>
      </c>
      <c r="C267" s="22" t="n">
        <v>63</v>
      </c>
      <c r="G267" s="22" t="n">
        <v>2000</v>
      </c>
      <c r="H267" s="22" t="n">
        <v>53</v>
      </c>
      <c r="J267" s="22" t="n">
        <v>75</v>
      </c>
      <c r="L267" s="22" t="n">
        <v>152308</v>
      </c>
    </row>
    <row r="268" s="22" customFormat="true" ht="13.5" hidden="false" customHeight="true" outlineLevel="0" collapsed="false">
      <c r="A268" s="22" t="n">
        <v>4903</v>
      </c>
      <c r="B268" s="22" t="s">
        <v>538</v>
      </c>
      <c r="C268" s="22" t="n">
        <v>64</v>
      </c>
      <c r="G268" s="22" t="n">
        <v>2500</v>
      </c>
      <c r="H268" s="22" t="n">
        <v>54</v>
      </c>
      <c r="J268" s="22" t="n">
        <v>80</v>
      </c>
      <c r="L268" s="22" t="n">
        <v>161208</v>
      </c>
    </row>
    <row r="269" s="22" customFormat="true" ht="13.5" hidden="false" customHeight="true" outlineLevel="0" collapsed="false">
      <c r="A269" s="22" t="n">
        <v>4903</v>
      </c>
      <c r="B269" s="22" t="s">
        <v>538</v>
      </c>
      <c r="C269" s="22" t="n">
        <v>65</v>
      </c>
      <c r="G269" s="22" t="n">
        <v>3000</v>
      </c>
      <c r="H269" s="22" t="n">
        <v>55</v>
      </c>
      <c r="J269" s="22" t="n">
        <v>85</v>
      </c>
      <c r="L269" s="22" t="n">
        <v>170488</v>
      </c>
    </row>
    <row r="270" s="22" customFormat="true" ht="13.5" hidden="false" customHeight="true" outlineLevel="0" collapsed="false">
      <c r="A270" s="22" t="n">
        <v>4903</v>
      </c>
      <c r="B270" s="22" t="s">
        <v>538</v>
      </c>
      <c r="C270" s="22" t="n">
        <v>66</v>
      </c>
      <c r="G270" s="22" t="n">
        <v>3500</v>
      </c>
      <c r="H270" s="22" t="n">
        <v>56</v>
      </c>
      <c r="J270" s="22" t="n">
        <v>90</v>
      </c>
      <c r="L270" s="22" t="n">
        <v>180164</v>
      </c>
    </row>
    <row r="271" s="22" customFormat="true" ht="13.5" hidden="false" customHeight="true" outlineLevel="0" collapsed="false">
      <c r="A271" s="22" t="n">
        <v>4903</v>
      </c>
      <c r="B271" s="22" t="s">
        <v>538</v>
      </c>
      <c r="C271" s="22" t="n">
        <v>67</v>
      </c>
      <c r="G271" s="22" t="n">
        <v>4000</v>
      </c>
      <c r="H271" s="22" t="n">
        <v>57</v>
      </c>
      <c r="J271" s="22" t="n">
        <v>95</v>
      </c>
      <c r="L271" s="22" t="n">
        <v>190244</v>
      </c>
    </row>
    <row r="272" s="22" customFormat="true" ht="13.5" hidden="false" customHeight="true" outlineLevel="0" collapsed="false">
      <c r="A272" s="22" t="n">
        <v>4903</v>
      </c>
      <c r="B272" s="22" t="s">
        <v>538</v>
      </c>
      <c r="C272" s="22" t="n">
        <v>68</v>
      </c>
      <c r="G272" s="22" t="n">
        <v>4500</v>
      </c>
      <c r="H272" s="22" t="n">
        <v>58</v>
      </c>
      <c r="J272" s="22" t="n">
        <v>100</v>
      </c>
      <c r="L272" s="22" t="n">
        <v>200740</v>
      </c>
    </row>
    <row r="273" s="22" customFormat="true" ht="13.5" hidden="false" customHeight="true" outlineLevel="0" collapsed="false">
      <c r="A273" s="22" t="n">
        <v>4903</v>
      </c>
      <c r="B273" s="22" t="s">
        <v>538</v>
      </c>
      <c r="C273" s="22" t="n">
        <v>69</v>
      </c>
      <c r="G273" s="22" t="n">
        <v>5000</v>
      </c>
      <c r="H273" s="22" t="n">
        <v>59</v>
      </c>
      <c r="J273" s="22" t="n">
        <v>105</v>
      </c>
      <c r="L273" s="22" t="n">
        <v>211656</v>
      </c>
    </row>
    <row r="274" s="22" customFormat="true" ht="13.5" hidden="false" customHeight="true" outlineLevel="0" collapsed="false">
      <c r="A274" s="22" t="n">
        <v>4903</v>
      </c>
      <c r="B274" s="22" t="s">
        <v>538</v>
      </c>
      <c r="C274" s="22" t="n">
        <v>70</v>
      </c>
      <c r="G274" s="22" t="n">
        <v>5500</v>
      </c>
      <c r="H274" s="22" t="n">
        <v>60</v>
      </c>
      <c r="J274" s="22" t="n">
        <v>110</v>
      </c>
      <c r="L274" s="22" t="n">
        <v>223016</v>
      </c>
    </row>
    <row r="275" s="22" customFormat="true" ht="13.5" hidden="false" customHeight="true" outlineLevel="0" collapsed="false">
      <c r="A275" s="22" t="n">
        <v>4903</v>
      </c>
      <c r="B275" s="22" t="s">
        <v>538</v>
      </c>
      <c r="C275" s="22" t="n">
        <v>71</v>
      </c>
      <c r="G275" s="22" t="n">
        <v>6000</v>
      </c>
      <c r="H275" s="22" t="n">
        <v>61</v>
      </c>
      <c r="J275" s="22" t="n">
        <v>115</v>
      </c>
      <c r="L275" s="22" t="n">
        <v>234828</v>
      </c>
    </row>
    <row r="276" s="22" customFormat="true" ht="13.5" hidden="false" customHeight="true" outlineLevel="0" collapsed="false">
      <c r="A276" s="22" t="n">
        <v>4903</v>
      </c>
      <c r="B276" s="22" t="s">
        <v>538</v>
      </c>
      <c r="C276" s="22" t="n">
        <v>72</v>
      </c>
      <c r="G276" s="22" t="n">
        <v>6500</v>
      </c>
      <c r="H276" s="22" t="n">
        <v>62</v>
      </c>
      <c r="J276" s="22" t="n">
        <v>120</v>
      </c>
      <c r="L276" s="22" t="n">
        <v>247096</v>
      </c>
    </row>
    <row r="277" s="22" customFormat="true" ht="13.5" hidden="false" customHeight="true" outlineLevel="0" collapsed="false">
      <c r="A277" s="22" t="n">
        <v>4903</v>
      </c>
      <c r="B277" s="22" t="s">
        <v>538</v>
      </c>
      <c r="C277" s="22" t="n">
        <v>73</v>
      </c>
      <c r="G277" s="22" t="n">
        <v>7000</v>
      </c>
      <c r="H277" s="22" t="n">
        <v>63</v>
      </c>
      <c r="J277" s="22" t="n">
        <v>125</v>
      </c>
      <c r="L277" s="22" t="n">
        <v>259840</v>
      </c>
    </row>
    <row r="278" s="22" customFormat="true" ht="13.5" hidden="false" customHeight="true" outlineLevel="0" collapsed="false">
      <c r="A278" s="22" t="n">
        <v>4903</v>
      </c>
      <c r="B278" s="22" t="s">
        <v>538</v>
      </c>
      <c r="C278" s="22" t="n">
        <v>74</v>
      </c>
      <c r="G278" s="22" t="n">
        <v>7500</v>
      </c>
      <c r="H278" s="22" t="n">
        <v>64</v>
      </c>
      <c r="J278" s="22" t="n">
        <v>130</v>
      </c>
      <c r="L278" s="22" t="n">
        <v>273064</v>
      </c>
    </row>
    <row r="279" s="22" customFormat="true" ht="13.5" hidden="false" customHeight="true" outlineLevel="0" collapsed="false">
      <c r="A279" s="22" t="n">
        <v>4903</v>
      </c>
      <c r="B279" s="22" t="s">
        <v>538</v>
      </c>
      <c r="C279" s="22" t="n">
        <v>75</v>
      </c>
      <c r="G279" s="22" t="n">
        <v>8000</v>
      </c>
      <c r="H279" s="22" t="n">
        <v>65</v>
      </c>
      <c r="J279" s="22" t="n">
        <v>135</v>
      </c>
      <c r="L279" s="22" t="n">
        <v>286788</v>
      </c>
    </row>
    <row r="280" s="22" customFormat="true" ht="13.5" hidden="false" customHeight="true" outlineLevel="0" collapsed="false">
      <c r="A280" s="22" t="n">
        <v>4903</v>
      </c>
      <c r="B280" s="22" t="s">
        <v>538</v>
      </c>
      <c r="C280" s="22" t="n">
        <v>76</v>
      </c>
      <c r="G280" s="22" t="n">
        <v>8500</v>
      </c>
      <c r="H280" s="22" t="n">
        <v>66</v>
      </c>
      <c r="J280" s="22" t="n">
        <v>140</v>
      </c>
      <c r="L280" s="22" t="n">
        <v>301024</v>
      </c>
    </row>
    <row r="281" s="22" customFormat="true" ht="13.5" hidden="false" customHeight="true" outlineLevel="0" collapsed="false">
      <c r="A281" s="22" t="n">
        <v>4903</v>
      </c>
      <c r="B281" s="22" t="s">
        <v>538</v>
      </c>
      <c r="C281" s="22" t="n">
        <v>77</v>
      </c>
      <c r="G281" s="22" t="n">
        <v>9000</v>
      </c>
      <c r="H281" s="22" t="n">
        <v>67</v>
      </c>
      <c r="J281" s="22" t="n">
        <v>145</v>
      </c>
      <c r="L281" s="22" t="n">
        <v>315776</v>
      </c>
    </row>
    <row r="282" s="22" customFormat="true" ht="13.5" hidden="false" customHeight="true" outlineLevel="0" collapsed="false">
      <c r="A282" s="22" t="n">
        <v>4903</v>
      </c>
      <c r="B282" s="22" t="s">
        <v>538</v>
      </c>
      <c r="C282" s="22" t="n">
        <v>78</v>
      </c>
      <c r="G282" s="22" t="n">
        <v>9500</v>
      </c>
      <c r="H282" s="22" t="n">
        <v>68</v>
      </c>
      <c r="J282" s="22" t="n">
        <v>150</v>
      </c>
      <c r="L282" s="22" t="n">
        <v>331064</v>
      </c>
    </row>
    <row r="283" s="22" customFormat="true" ht="13.5" hidden="false" customHeight="true" outlineLevel="0" collapsed="false">
      <c r="A283" s="22" t="n">
        <v>4903</v>
      </c>
      <c r="B283" s="22" t="s">
        <v>538</v>
      </c>
      <c r="C283" s="22" t="n">
        <v>79</v>
      </c>
      <c r="G283" s="22" t="n">
        <v>10000</v>
      </c>
      <c r="H283" s="22" t="n">
        <v>69</v>
      </c>
      <c r="J283" s="22" t="n">
        <v>155</v>
      </c>
      <c r="L283" s="22" t="n">
        <v>346896</v>
      </c>
    </row>
    <row r="284" s="22" customFormat="true" ht="13.5" hidden="false" customHeight="true" outlineLevel="0" collapsed="false">
      <c r="A284" s="22" t="n">
        <v>4903</v>
      </c>
      <c r="B284" s="22" t="s">
        <v>538</v>
      </c>
      <c r="C284" s="22" t="n">
        <v>80</v>
      </c>
      <c r="G284" s="22" t="n">
        <v>10500</v>
      </c>
      <c r="H284" s="22" t="n">
        <v>70</v>
      </c>
      <c r="J284" s="22" t="n">
        <v>165</v>
      </c>
      <c r="L284" s="22" t="n">
        <v>363292</v>
      </c>
    </row>
    <row r="285" s="22" customFormat="true" ht="13.5" hidden="false" customHeight="true" outlineLevel="0" collapsed="false">
      <c r="A285" s="22" t="n">
        <v>4903</v>
      </c>
      <c r="B285" s="22" t="s">
        <v>538</v>
      </c>
      <c r="C285" s="22" t="n">
        <v>81</v>
      </c>
      <c r="G285" s="22" t="n">
        <v>11000</v>
      </c>
      <c r="H285" s="22" t="n">
        <v>71</v>
      </c>
      <c r="J285" s="22" t="n">
        <v>175</v>
      </c>
      <c r="L285" s="22" t="n">
        <v>380260</v>
      </c>
    </row>
    <row r="286" s="22" customFormat="true" ht="13.5" hidden="false" customHeight="true" outlineLevel="0" collapsed="false">
      <c r="A286" s="22" t="n">
        <v>4903</v>
      </c>
      <c r="B286" s="22" t="s">
        <v>538</v>
      </c>
      <c r="C286" s="22" t="n">
        <v>82</v>
      </c>
      <c r="G286" s="22" t="n">
        <v>11500</v>
      </c>
      <c r="H286" s="22" t="n">
        <v>72</v>
      </c>
      <c r="J286" s="22" t="n">
        <v>185</v>
      </c>
      <c r="L286" s="22" t="n">
        <v>397808</v>
      </c>
    </row>
    <row r="287" s="22" customFormat="true" ht="13.5" hidden="false" customHeight="true" outlineLevel="0" collapsed="false">
      <c r="A287" s="22" t="n">
        <v>4903</v>
      </c>
      <c r="B287" s="22" t="s">
        <v>538</v>
      </c>
      <c r="C287" s="22" t="n">
        <v>83</v>
      </c>
      <c r="G287" s="22" t="n">
        <v>12000</v>
      </c>
      <c r="H287" s="22" t="n">
        <v>73</v>
      </c>
      <c r="J287" s="22" t="n">
        <v>195</v>
      </c>
      <c r="L287" s="22" t="n">
        <v>415964</v>
      </c>
    </row>
    <row r="288" s="22" customFormat="true" ht="13.5" hidden="false" customHeight="true" outlineLevel="0" collapsed="false">
      <c r="A288" s="22" t="n">
        <v>4903</v>
      </c>
      <c r="B288" s="22" t="s">
        <v>538</v>
      </c>
      <c r="C288" s="22" t="n">
        <v>84</v>
      </c>
      <c r="G288" s="22" t="n">
        <v>12500</v>
      </c>
      <c r="H288" s="22" t="n">
        <v>74</v>
      </c>
      <c r="J288" s="22" t="n">
        <v>205</v>
      </c>
      <c r="L288" s="22" t="n">
        <v>434724</v>
      </c>
    </row>
    <row r="289" s="22" customFormat="true" ht="13.5" hidden="false" customHeight="true" outlineLevel="0" collapsed="false">
      <c r="A289" s="22" t="n">
        <v>4903</v>
      </c>
      <c r="B289" s="22" t="s">
        <v>538</v>
      </c>
      <c r="C289" s="22" t="n">
        <v>85</v>
      </c>
      <c r="G289" s="22" t="n">
        <v>13000</v>
      </c>
      <c r="H289" s="22" t="n">
        <v>75</v>
      </c>
      <c r="J289" s="22" t="n">
        <v>215</v>
      </c>
      <c r="L289" s="22" t="n">
        <v>454112</v>
      </c>
    </row>
    <row r="290" s="22" customFormat="true" ht="13.5" hidden="false" customHeight="true" outlineLevel="0" collapsed="false">
      <c r="A290" s="22" t="n">
        <v>4903</v>
      </c>
      <c r="B290" s="22" t="s">
        <v>538</v>
      </c>
      <c r="C290" s="22" t="n">
        <v>86</v>
      </c>
      <c r="G290" s="22" t="n">
        <v>13500</v>
      </c>
      <c r="H290" s="22" t="n">
        <v>76</v>
      </c>
      <c r="J290" s="22" t="n">
        <v>225</v>
      </c>
      <c r="L290" s="22" t="n">
        <v>474140</v>
      </c>
    </row>
    <row r="291" s="22" customFormat="true" ht="13.5" hidden="false" customHeight="true" outlineLevel="0" collapsed="false">
      <c r="A291" s="22" t="n">
        <v>4903</v>
      </c>
      <c r="B291" s="22" t="s">
        <v>538</v>
      </c>
      <c r="C291" s="22" t="n">
        <v>87</v>
      </c>
      <c r="G291" s="22" t="n">
        <v>14000</v>
      </c>
      <c r="H291" s="22" t="n">
        <v>77</v>
      </c>
      <c r="J291" s="22" t="n">
        <v>235</v>
      </c>
      <c r="L291" s="22" t="n">
        <v>494820</v>
      </c>
    </row>
    <row r="292" s="22" customFormat="true" ht="13.5" hidden="false" customHeight="true" outlineLevel="0" collapsed="false">
      <c r="A292" s="22" t="n">
        <v>4903</v>
      </c>
      <c r="B292" s="22" t="s">
        <v>538</v>
      </c>
      <c r="C292" s="22" t="n">
        <v>88</v>
      </c>
      <c r="G292" s="22" t="n">
        <v>14500</v>
      </c>
      <c r="H292" s="22" t="n">
        <v>78</v>
      </c>
      <c r="J292" s="22" t="n">
        <v>245</v>
      </c>
      <c r="L292" s="22" t="n">
        <v>516168</v>
      </c>
    </row>
    <row r="293" s="22" customFormat="true" ht="13.5" hidden="false" customHeight="true" outlineLevel="0" collapsed="false">
      <c r="A293" s="22" t="n">
        <v>4903</v>
      </c>
      <c r="B293" s="22" t="s">
        <v>538</v>
      </c>
      <c r="C293" s="22" t="n">
        <v>89</v>
      </c>
      <c r="G293" s="22" t="n">
        <v>15000</v>
      </c>
      <c r="H293" s="22" t="n">
        <v>79</v>
      </c>
      <c r="J293" s="22" t="n">
        <v>255</v>
      </c>
      <c r="L293" s="22" t="n">
        <v>538200</v>
      </c>
    </row>
    <row r="294" s="22" customFormat="true" ht="13.5" hidden="false" customHeight="true" outlineLevel="0" collapsed="false">
      <c r="A294" s="22" t="n">
        <v>4903</v>
      </c>
      <c r="B294" s="22" t="s">
        <v>538</v>
      </c>
      <c r="C294" s="22" t="n">
        <v>90</v>
      </c>
      <c r="G294" s="22" t="n">
        <v>15500</v>
      </c>
      <c r="H294" s="22" t="n">
        <v>80</v>
      </c>
      <c r="J294" s="22" t="n">
        <v>265</v>
      </c>
      <c r="L294" s="22" t="n">
        <v>560924</v>
      </c>
    </row>
    <row r="295" s="22" customFormat="true" ht="13.5" hidden="false" customHeight="true" outlineLevel="0" collapsed="false">
      <c r="A295" s="22" t="n">
        <v>4903</v>
      </c>
      <c r="B295" s="22" t="s">
        <v>538</v>
      </c>
      <c r="C295" s="22" t="n">
        <v>91</v>
      </c>
      <c r="G295" s="22" t="n">
        <v>16000</v>
      </c>
      <c r="H295" s="22" t="n">
        <v>81</v>
      </c>
      <c r="J295" s="22" t="n">
        <v>275</v>
      </c>
      <c r="L295" s="22" t="n">
        <v>584356</v>
      </c>
    </row>
    <row r="296" s="22" customFormat="true" ht="13.5" hidden="false" customHeight="true" outlineLevel="0" collapsed="false">
      <c r="A296" s="22" t="n">
        <v>4903</v>
      </c>
      <c r="B296" s="22" t="s">
        <v>538</v>
      </c>
      <c r="C296" s="22" t="n">
        <v>92</v>
      </c>
      <c r="G296" s="22" t="n">
        <v>16500</v>
      </c>
      <c r="H296" s="22" t="n">
        <v>82</v>
      </c>
      <c r="J296" s="22" t="n">
        <v>285</v>
      </c>
      <c r="L296" s="22" t="n">
        <v>608516</v>
      </c>
    </row>
    <row r="297" s="22" customFormat="true" ht="13.5" hidden="false" customHeight="true" outlineLevel="0" collapsed="false">
      <c r="A297" s="22" t="n">
        <v>4903</v>
      </c>
      <c r="B297" s="22" t="s">
        <v>538</v>
      </c>
      <c r="C297" s="22" t="n">
        <v>93</v>
      </c>
      <c r="G297" s="22" t="n">
        <v>17000</v>
      </c>
      <c r="H297" s="22" t="n">
        <v>83</v>
      </c>
      <c r="J297" s="22" t="n">
        <v>295</v>
      </c>
      <c r="L297" s="22" t="n">
        <v>633416</v>
      </c>
    </row>
    <row r="298" s="22" customFormat="true" ht="13.5" hidden="false" customHeight="true" outlineLevel="0" collapsed="false">
      <c r="A298" s="22" t="n">
        <v>4903</v>
      </c>
      <c r="B298" s="22" t="s">
        <v>538</v>
      </c>
      <c r="C298" s="22" t="n">
        <v>94</v>
      </c>
      <c r="G298" s="22" t="n">
        <v>17500</v>
      </c>
      <c r="H298" s="22" t="n">
        <v>84</v>
      </c>
      <c r="J298" s="22" t="n">
        <v>305</v>
      </c>
      <c r="L298" s="22" t="n">
        <v>659064</v>
      </c>
    </row>
    <row r="299" s="22" customFormat="true" ht="13.5" hidden="false" customHeight="true" outlineLevel="0" collapsed="false">
      <c r="A299" s="22" t="n">
        <v>4903</v>
      </c>
      <c r="B299" s="22" t="s">
        <v>538</v>
      </c>
      <c r="C299" s="22" t="n">
        <v>95</v>
      </c>
      <c r="G299" s="22" t="n">
        <v>18000</v>
      </c>
      <c r="H299" s="22" t="n">
        <v>85</v>
      </c>
      <c r="J299" s="22" t="n">
        <v>315</v>
      </c>
      <c r="L299" s="22" t="n">
        <v>685488</v>
      </c>
    </row>
    <row r="300" s="22" customFormat="true" ht="13.5" hidden="false" customHeight="true" outlineLevel="0" collapsed="false">
      <c r="A300" s="22" t="n">
        <v>4903</v>
      </c>
      <c r="B300" s="22" t="s">
        <v>538</v>
      </c>
      <c r="C300" s="22" t="n">
        <v>96</v>
      </c>
      <c r="G300" s="22" t="n">
        <v>18500</v>
      </c>
      <c r="H300" s="22" t="n">
        <v>86</v>
      </c>
      <c r="J300" s="22" t="n">
        <v>325</v>
      </c>
      <c r="L300" s="22" t="n">
        <v>712696</v>
      </c>
    </row>
    <row r="301" s="22" customFormat="true" ht="13.5" hidden="false" customHeight="true" outlineLevel="0" collapsed="false">
      <c r="A301" s="22" t="n">
        <v>4903</v>
      </c>
      <c r="B301" s="22" t="s">
        <v>538</v>
      </c>
      <c r="C301" s="22" t="n">
        <v>97</v>
      </c>
      <c r="G301" s="22" t="n">
        <v>19000</v>
      </c>
      <c r="H301" s="22" t="n">
        <v>87</v>
      </c>
      <c r="J301" s="22" t="n">
        <v>335</v>
      </c>
      <c r="L301" s="22" t="n">
        <v>740700</v>
      </c>
    </row>
    <row r="302" s="22" customFormat="true" ht="13.5" hidden="false" customHeight="true" outlineLevel="0" collapsed="false">
      <c r="A302" s="22" t="n">
        <v>4903</v>
      </c>
      <c r="B302" s="22" t="s">
        <v>538</v>
      </c>
      <c r="C302" s="22" t="n">
        <v>98</v>
      </c>
      <c r="G302" s="22" t="n">
        <v>19500</v>
      </c>
      <c r="H302" s="22" t="n">
        <v>88</v>
      </c>
      <c r="J302" s="22" t="n">
        <v>345</v>
      </c>
      <c r="L302" s="22" t="n">
        <v>769520</v>
      </c>
    </row>
    <row r="303" s="22" customFormat="true" ht="13.5" hidden="false" customHeight="true" outlineLevel="0" collapsed="false">
      <c r="A303" s="22" t="n">
        <v>4903</v>
      </c>
      <c r="B303" s="22" t="s">
        <v>538</v>
      </c>
      <c r="C303" s="22" t="n">
        <v>99</v>
      </c>
      <c r="G303" s="22" t="n">
        <v>20000</v>
      </c>
      <c r="H303" s="22" t="n">
        <v>89</v>
      </c>
      <c r="J303" s="22" t="n">
        <v>355</v>
      </c>
      <c r="L303" s="22" t="n">
        <v>799168</v>
      </c>
    </row>
    <row r="304" s="22" customFormat="true" ht="13.5" hidden="false" customHeight="true" outlineLevel="0" collapsed="false">
      <c r="A304" s="22" t="n">
        <v>4903</v>
      </c>
      <c r="B304" s="22" t="s">
        <v>538</v>
      </c>
      <c r="C304" s="22" t="n">
        <v>100</v>
      </c>
      <c r="G304" s="22" t="n">
        <v>20500</v>
      </c>
      <c r="H304" s="22" t="n">
        <v>90</v>
      </c>
      <c r="J304" s="22" t="n">
        <v>365</v>
      </c>
      <c r="L304" s="22" t="n">
        <v>829668</v>
      </c>
    </row>
    <row r="305" s="19" customFormat="true" ht="13.5" hidden="false" customHeight="true" outlineLevel="0" collapsed="false">
      <c r="A305" s="19" t="n">
        <v>4904</v>
      </c>
      <c r="B305" s="19" t="s">
        <v>541</v>
      </c>
      <c r="C305" s="19" t="n">
        <v>1</v>
      </c>
      <c r="D305" s="19" t="s">
        <v>541</v>
      </c>
      <c r="E305" s="19" t="s">
        <v>542</v>
      </c>
      <c r="F305" s="19" t="s">
        <v>543</v>
      </c>
      <c r="G305" s="19" t="n">
        <v>0</v>
      </c>
      <c r="H305" s="19" t="n">
        <v>0</v>
      </c>
      <c r="J305" s="19" t="n">
        <v>0</v>
      </c>
      <c r="L305" s="19" t="n">
        <v>100</v>
      </c>
    </row>
    <row r="306" s="19" customFormat="true" ht="13.5" hidden="false" customHeight="true" outlineLevel="0" collapsed="false">
      <c r="A306" s="19" t="n">
        <v>4904</v>
      </c>
      <c r="B306" s="19" t="s">
        <v>541</v>
      </c>
      <c r="C306" s="19" t="n">
        <v>2</v>
      </c>
      <c r="G306" s="19" t="n">
        <v>0</v>
      </c>
      <c r="H306" s="19" t="n">
        <v>0</v>
      </c>
      <c r="J306" s="19" t="n">
        <v>0</v>
      </c>
      <c r="L306" s="19" t="n">
        <v>180</v>
      </c>
    </row>
    <row r="307" s="19" customFormat="true" ht="13.5" hidden="false" customHeight="true" outlineLevel="0" collapsed="false">
      <c r="A307" s="19" t="n">
        <v>4904</v>
      </c>
      <c r="B307" s="19" t="s">
        <v>541</v>
      </c>
      <c r="C307" s="19" t="n">
        <v>3</v>
      </c>
      <c r="G307" s="19" t="n">
        <v>0</v>
      </c>
      <c r="H307" s="19" t="n">
        <v>0</v>
      </c>
      <c r="J307" s="19" t="n">
        <v>0</v>
      </c>
      <c r="L307" s="19" t="n">
        <v>280</v>
      </c>
    </row>
    <row r="308" s="19" customFormat="true" ht="13.5" hidden="false" customHeight="true" outlineLevel="0" collapsed="false">
      <c r="A308" s="19" t="n">
        <v>4904</v>
      </c>
      <c r="B308" s="19" t="s">
        <v>541</v>
      </c>
      <c r="C308" s="19" t="n">
        <v>4</v>
      </c>
      <c r="G308" s="19" t="n">
        <v>0</v>
      </c>
      <c r="H308" s="19" t="n">
        <v>0</v>
      </c>
      <c r="J308" s="19" t="n">
        <v>0</v>
      </c>
      <c r="L308" s="19" t="n">
        <v>440</v>
      </c>
    </row>
    <row r="309" s="19" customFormat="true" ht="13.5" hidden="false" customHeight="true" outlineLevel="0" collapsed="false">
      <c r="A309" s="19" t="n">
        <v>4904</v>
      </c>
      <c r="B309" s="19" t="s">
        <v>541</v>
      </c>
      <c r="C309" s="19" t="n">
        <v>5</v>
      </c>
      <c r="G309" s="19" t="n">
        <v>0</v>
      </c>
      <c r="H309" s="19" t="n">
        <v>0</v>
      </c>
      <c r="J309" s="19" t="n">
        <v>0</v>
      </c>
      <c r="L309" s="19" t="n">
        <v>580</v>
      </c>
    </row>
    <row r="310" s="19" customFormat="true" ht="13.5" hidden="false" customHeight="true" outlineLevel="0" collapsed="false">
      <c r="A310" s="19" t="n">
        <v>4904</v>
      </c>
      <c r="B310" s="19" t="s">
        <v>541</v>
      </c>
      <c r="C310" s="19" t="n">
        <v>6</v>
      </c>
      <c r="G310" s="19" t="n">
        <v>0</v>
      </c>
      <c r="H310" s="19" t="n">
        <v>0</v>
      </c>
      <c r="J310" s="19" t="n">
        <v>0</v>
      </c>
      <c r="L310" s="19" t="n">
        <v>780</v>
      </c>
    </row>
    <row r="311" s="19" customFormat="true" ht="13.5" hidden="false" customHeight="true" outlineLevel="0" collapsed="false">
      <c r="A311" s="19" t="n">
        <v>4904</v>
      </c>
      <c r="B311" s="19" t="s">
        <v>541</v>
      </c>
      <c r="C311" s="19" t="n">
        <v>7</v>
      </c>
      <c r="G311" s="19" t="n">
        <v>0</v>
      </c>
      <c r="H311" s="19" t="n">
        <v>0</v>
      </c>
      <c r="J311" s="19" t="n">
        <v>0</v>
      </c>
      <c r="L311" s="19" t="n">
        <v>1020</v>
      </c>
    </row>
    <row r="312" s="19" customFormat="true" ht="13.5" hidden="false" customHeight="true" outlineLevel="0" collapsed="false">
      <c r="A312" s="19" t="n">
        <v>4904</v>
      </c>
      <c r="B312" s="19" t="s">
        <v>541</v>
      </c>
      <c r="C312" s="19" t="n">
        <v>8</v>
      </c>
      <c r="G312" s="19" t="n">
        <v>0</v>
      </c>
      <c r="H312" s="19" t="n">
        <v>0</v>
      </c>
      <c r="J312" s="19" t="n">
        <v>0</v>
      </c>
      <c r="L312" s="19" t="n">
        <v>1320</v>
      </c>
    </row>
    <row r="313" s="19" customFormat="true" ht="13.5" hidden="false" customHeight="true" outlineLevel="0" collapsed="false">
      <c r="A313" s="19" t="n">
        <v>4904</v>
      </c>
      <c r="B313" s="19" t="s">
        <v>541</v>
      </c>
      <c r="C313" s="19" t="n">
        <v>9</v>
      </c>
      <c r="G313" s="19" t="n">
        <v>0</v>
      </c>
      <c r="H313" s="19" t="n">
        <v>0</v>
      </c>
      <c r="J313" s="19" t="n">
        <v>0</v>
      </c>
      <c r="L313" s="19" t="n">
        <v>1700</v>
      </c>
    </row>
    <row r="314" s="19" customFormat="true" ht="13.5" hidden="false" customHeight="true" outlineLevel="0" collapsed="false">
      <c r="A314" s="19" t="n">
        <v>4904</v>
      </c>
      <c r="B314" s="19" t="s">
        <v>541</v>
      </c>
      <c r="C314" s="19" t="n">
        <v>10</v>
      </c>
      <c r="G314" s="19" t="n">
        <v>0</v>
      </c>
      <c r="H314" s="19" t="n">
        <v>0</v>
      </c>
      <c r="J314" s="19" t="n">
        <v>0</v>
      </c>
      <c r="L314" s="19" t="n">
        <v>2120</v>
      </c>
    </row>
    <row r="315" s="19" customFormat="true" ht="13.5" hidden="false" customHeight="true" outlineLevel="0" collapsed="false">
      <c r="A315" s="19" t="n">
        <v>4904</v>
      </c>
      <c r="B315" s="19" t="s">
        <v>541</v>
      </c>
      <c r="C315" s="19" t="n">
        <v>11</v>
      </c>
      <c r="G315" s="19" t="n">
        <v>0</v>
      </c>
      <c r="H315" s="19" t="n">
        <v>1</v>
      </c>
      <c r="J315" s="19" t="n">
        <v>0</v>
      </c>
      <c r="L315" s="19" t="n">
        <v>2680</v>
      </c>
    </row>
    <row r="316" s="19" customFormat="true" ht="13.5" hidden="false" customHeight="true" outlineLevel="0" collapsed="false">
      <c r="A316" s="19" t="n">
        <v>4904</v>
      </c>
      <c r="B316" s="19" t="s">
        <v>541</v>
      </c>
      <c r="C316" s="19" t="n">
        <v>12</v>
      </c>
      <c r="G316" s="19" t="n">
        <v>0</v>
      </c>
      <c r="H316" s="19" t="n">
        <v>2</v>
      </c>
      <c r="J316" s="19" t="n">
        <v>0</v>
      </c>
      <c r="L316" s="19" t="n">
        <v>3320</v>
      </c>
    </row>
    <row r="317" s="19" customFormat="true" ht="13.5" hidden="false" customHeight="true" outlineLevel="0" collapsed="false">
      <c r="A317" s="19" t="n">
        <v>4904</v>
      </c>
      <c r="B317" s="19" t="s">
        <v>541</v>
      </c>
      <c r="C317" s="19" t="n">
        <v>13</v>
      </c>
      <c r="G317" s="19" t="n">
        <v>0</v>
      </c>
      <c r="H317" s="19" t="n">
        <v>3</v>
      </c>
      <c r="J317" s="19" t="n">
        <v>0</v>
      </c>
      <c r="L317" s="19" t="n">
        <v>4080</v>
      </c>
    </row>
    <row r="318" s="19" customFormat="true" ht="13.5" hidden="false" customHeight="true" outlineLevel="0" collapsed="false">
      <c r="A318" s="19" t="n">
        <v>4904</v>
      </c>
      <c r="B318" s="19" t="s">
        <v>541</v>
      </c>
      <c r="C318" s="19" t="n">
        <v>14</v>
      </c>
      <c r="G318" s="19" t="n">
        <v>0</v>
      </c>
      <c r="H318" s="19" t="n">
        <v>4</v>
      </c>
      <c r="J318" s="19" t="n">
        <v>0</v>
      </c>
      <c r="L318" s="19" t="n">
        <v>4980</v>
      </c>
    </row>
    <row r="319" s="19" customFormat="true" ht="13.5" hidden="false" customHeight="true" outlineLevel="0" collapsed="false">
      <c r="A319" s="19" t="n">
        <v>4904</v>
      </c>
      <c r="B319" s="19" t="s">
        <v>541</v>
      </c>
      <c r="C319" s="19" t="n">
        <v>15</v>
      </c>
      <c r="G319" s="19" t="n">
        <v>0</v>
      </c>
      <c r="H319" s="19" t="n">
        <v>5</v>
      </c>
      <c r="J319" s="19" t="n">
        <v>0</v>
      </c>
      <c r="L319" s="19" t="n">
        <v>6020</v>
      </c>
    </row>
    <row r="320" s="19" customFormat="true" ht="13.5" hidden="false" customHeight="true" outlineLevel="0" collapsed="false">
      <c r="A320" s="19" t="n">
        <v>4904</v>
      </c>
      <c r="B320" s="19" t="s">
        <v>541</v>
      </c>
      <c r="C320" s="19" t="n">
        <v>16</v>
      </c>
      <c r="G320" s="19" t="n">
        <v>0</v>
      </c>
      <c r="H320" s="19" t="n">
        <v>6</v>
      </c>
      <c r="J320" s="19" t="n">
        <v>0</v>
      </c>
      <c r="L320" s="19" t="n">
        <v>7232</v>
      </c>
    </row>
    <row r="321" s="19" customFormat="true" ht="13.5" hidden="false" customHeight="true" outlineLevel="0" collapsed="false">
      <c r="A321" s="19" t="n">
        <v>4904</v>
      </c>
      <c r="B321" s="19" t="s">
        <v>541</v>
      </c>
      <c r="C321" s="19" t="n">
        <v>17</v>
      </c>
      <c r="G321" s="19" t="n">
        <v>0</v>
      </c>
      <c r="H321" s="19" t="n">
        <v>7</v>
      </c>
      <c r="J321" s="19" t="n">
        <v>0</v>
      </c>
      <c r="L321" s="19" t="n">
        <v>7240</v>
      </c>
    </row>
    <row r="322" s="19" customFormat="true" ht="13.5" hidden="false" customHeight="true" outlineLevel="0" collapsed="false">
      <c r="A322" s="19" t="n">
        <v>4904</v>
      </c>
      <c r="B322" s="19" t="s">
        <v>541</v>
      </c>
      <c r="C322" s="19" t="n">
        <v>18</v>
      </c>
      <c r="G322" s="19" t="n">
        <v>0</v>
      </c>
      <c r="H322" s="19" t="n">
        <v>8</v>
      </c>
      <c r="J322" s="19" t="n">
        <v>0</v>
      </c>
      <c r="L322" s="19" t="n">
        <v>8620</v>
      </c>
    </row>
    <row r="323" s="19" customFormat="true" ht="13.5" hidden="false" customHeight="true" outlineLevel="0" collapsed="false">
      <c r="A323" s="19" t="n">
        <v>4904</v>
      </c>
      <c r="B323" s="19" t="s">
        <v>541</v>
      </c>
      <c r="C323" s="19" t="n">
        <v>19</v>
      </c>
      <c r="G323" s="19" t="n">
        <v>0</v>
      </c>
      <c r="H323" s="19" t="n">
        <v>9</v>
      </c>
      <c r="J323" s="19" t="n">
        <v>0</v>
      </c>
      <c r="L323" s="19" t="n">
        <v>8752</v>
      </c>
    </row>
    <row r="324" s="19" customFormat="true" ht="13.5" hidden="false" customHeight="true" outlineLevel="0" collapsed="false">
      <c r="A324" s="19" t="n">
        <v>4904</v>
      </c>
      <c r="B324" s="19" t="s">
        <v>541</v>
      </c>
      <c r="C324" s="19" t="n">
        <v>20</v>
      </c>
      <c r="G324" s="19" t="n">
        <v>0</v>
      </c>
      <c r="H324" s="19" t="n">
        <v>10</v>
      </c>
      <c r="J324" s="19" t="n">
        <v>0</v>
      </c>
      <c r="L324" s="19" t="n">
        <v>10032</v>
      </c>
    </row>
    <row r="325" s="19" customFormat="true" ht="13.5" hidden="false" customHeight="true" outlineLevel="0" collapsed="false">
      <c r="A325" s="19" t="n">
        <v>4904</v>
      </c>
      <c r="B325" s="19" t="s">
        <v>541</v>
      </c>
      <c r="C325" s="19" t="n">
        <v>21</v>
      </c>
      <c r="G325" s="19" t="n">
        <v>0</v>
      </c>
      <c r="H325" s="19" t="n">
        <v>11</v>
      </c>
      <c r="J325" s="19" t="n">
        <v>1</v>
      </c>
      <c r="L325" s="19" t="n">
        <v>10220</v>
      </c>
    </row>
    <row r="326" s="19" customFormat="true" ht="13.5" hidden="false" customHeight="true" outlineLevel="0" collapsed="false">
      <c r="A326" s="19" t="n">
        <v>4904</v>
      </c>
      <c r="B326" s="19" t="s">
        <v>541</v>
      </c>
      <c r="C326" s="19" t="n">
        <v>22</v>
      </c>
      <c r="G326" s="19" t="n">
        <v>0</v>
      </c>
      <c r="H326" s="19" t="n">
        <v>12</v>
      </c>
      <c r="J326" s="19" t="n">
        <v>1</v>
      </c>
      <c r="L326" s="19" t="n">
        <v>11456</v>
      </c>
    </row>
    <row r="327" s="19" customFormat="true" ht="13.5" hidden="false" customHeight="true" outlineLevel="0" collapsed="false">
      <c r="A327" s="19" t="n">
        <v>4904</v>
      </c>
      <c r="B327" s="19" t="s">
        <v>541</v>
      </c>
      <c r="C327" s="19" t="n">
        <v>23</v>
      </c>
      <c r="G327" s="19" t="n">
        <v>0</v>
      </c>
      <c r="H327" s="19" t="n">
        <v>13</v>
      </c>
      <c r="J327" s="19" t="n">
        <v>1</v>
      </c>
      <c r="L327" s="19" t="n">
        <v>12060</v>
      </c>
    </row>
    <row r="328" s="19" customFormat="true" ht="13.5" hidden="false" customHeight="true" outlineLevel="0" collapsed="false">
      <c r="A328" s="19" t="n">
        <v>4904</v>
      </c>
      <c r="B328" s="19" t="s">
        <v>541</v>
      </c>
      <c r="C328" s="19" t="n">
        <v>24</v>
      </c>
      <c r="G328" s="19" t="n">
        <v>0</v>
      </c>
      <c r="H328" s="19" t="n">
        <v>14</v>
      </c>
      <c r="J328" s="19" t="n">
        <v>1</v>
      </c>
      <c r="L328" s="19" t="n">
        <v>13024</v>
      </c>
    </row>
    <row r="329" s="19" customFormat="true" ht="13.5" hidden="false" customHeight="true" outlineLevel="0" collapsed="false">
      <c r="A329" s="19" t="n">
        <v>4904</v>
      </c>
      <c r="B329" s="19" t="s">
        <v>541</v>
      </c>
      <c r="C329" s="19" t="n">
        <v>25</v>
      </c>
      <c r="G329" s="19" t="n">
        <v>0</v>
      </c>
      <c r="H329" s="19" t="n">
        <v>15</v>
      </c>
      <c r="J329" s="19" t="n">
        <v>1</v>
      </c>
      <c r="L329" s="19" t="n">
        <v>14080</v>
      </c>
    </row>
    <row r="330" s="19" customFormat="true" ht="13.5" hidden="false" customHeight="true" outlineLevel="0" collapsed="false">
      <c r="A330" s="19" t="n">
        <v>4904</v>
      </c>
      <c r="B330" s="19" t="s">
        <v>541</v>
      </c>
      <c r="C330" s="19" t="n">
        <v>26</v>
      </c>
      <c r="G330" s="19" t="n">
        <v>0</v>
      </c>
      <c r="H330" s="19" t="n">
        <v>16</v>
      </c>
      <c r="J330" s="19" t="n">
        <v>1</v>
      </c>
      <c r="L330" s="19" t="n">
        <v>14752</v>
      </c>
    </row>
    <row r="331" s="19" customFormat="true" ht="13.5" hidden="false" customHeight="true" outlineLevel="0" collapsed="false">
      <c r="A331" s="19" t="n">
        <v>4904</v>
      </c>
      <c r="B331" s="19" t="s">
        <v>541</v>
      </c>
      <c r="C331" s="19" t="n">
        <v>27</v>
      </c>
      <c r="G331" s="19" t="n">
        <v>0</v>
      </c>
      <c r="H331" s="19" t="n">
        <v>17</v>
      </c>
      <c r="J331" s="19" t="n">
        <v>1</v>
      </c>
      <c r="L331" s="19" t="n">
        <v>16648</v>
      </c>
    </row>
    <row r="332" s="19" customFormat="true" ht="13.5" hidden="false" customHeight="true" outlineLevel="0" collapsed="false">
      <c r="A332" s="19" t="n">
        <v>4904</v>
      </c>
      <c r="B332" s="19" t="s">
        <v>541</v>
      </c>
      <c r="C332" s="19" t="n">
        <v>28</v>
      </c>
      <c r="G332" s="19" t="n">
        <v>0</v>
      </c>
      <c r="H332" s="19" t="n">
        <v>18</v>
      </c>
      <c r="J332" s="19" t="n">
        <v>1</v>
      </c>
      <c r="L332" s="19" t="n">
        <v>18712</v>
      </c>
    </row>
    <row r="333" s="19" customFormat="true" ht="13.5" hidden="false" customHeight="true" outlineLevel="0" collapsed="false">
      <c r="A333" s="19" t="n">
        <v>4904</v>
      </c>
      <c r="B333" s="19" t="s">
        <v>541</v>
      </c>
      <c r="C333" s="19" t="n">
        <v>29</v>
      </c>
      <c r="G333" s="19" t="n">
        <v>0</v>
      </c>
      <c r="H333" s="19" t="n">
        <v>19</v>
      </c>
      <c r="J333" s="19" t="n">
        <v>1</v>
      </c>
      <c r="L333" s="19" t="n">
        <v>20976</v>
      </c>
    </row>
    <row r="334" s="19" customFormat="true" ht="13.5" hidden="false" customHeight="true" outlineLevel="0" collapsed="false">
      <c r="A334" s="19" t="n">
        <v>4904</v>
      </c>
      <c r="B334" s="19" t="s">
        <v>541</v>
      </c>
      <c r="C334" s="19" t="n">
        <v>30</v>
      </c>
      <c r="G334" s="19" t="n">
        <v>0</v>
      </c>
      <c r="H334" s="19" t="n">
        <v>20</v>
      </c>
      <c r="J334" s="19" t="n">
        <v>1</v>
      </c>
      <c r="L334" s="19" t="n">
        <v>23432</v>
      </c>
    </row>
    <row r="335" s="19" customFormat="true" ht="13.5" hidden="false" customHeight="true" outlineLevel="0" collapsed="false">
      <c r="A335" s="19" t="n">
        <v>4904</v>
      </c>
      <c r="B335" s="19" t="s">
        <v>541</v>
      </c>
      <c r="C335" s="19" t="n">
        <v>31</v>
      </c>
      <c r="G335" s="19" t="n">
        <v>0</v>
      </c>
      <c r="H335" s="19" t="n">
        <v>21</v>
      </c>
      <c r="J335" s="19" t="n">
        <v>1</v>
      </c>
      <c r="L335" s="19" t="n">
        <v>26096</v>
      </c>
    </row>
    <row r="336" s="19" customFormat="true" ht="13.5" hidden="false" customHeight="true" outlineLevel="0" collapsed="false">
      <c r="A336" s="19" t="n">
        <v>4904</v>
      </c>
      <c r="B336" s="19" t="s">
        <v>541</v>
      </c>
      <c r="C336" s="19" t="n">
        <v>32</v>
      </c>
      <c r="G336" s="19" t="n">
        <v>0</v>
      </c>
      <c r="H336" s="19" t="n">
        <v>22</v>
      </c>
      <c r="J336" s="19" t="n">
        <v>1</v>
      </c>
      <c r="L336" s="19" t="n">
        <v>28976</v>
      </c>
    </row>
    <row r="337" s="19" customFormat="true" ht="13.5" hidden="false" customHeight="true" outlineLevel="0" collapsed="false">
      <c r="A337" s="19" t="n">
        <v>4904</v>
      </c>
      <c r="B337" s="19" t="s">
        <v>541</v>
      </c>
      <c r="C337" s="19" t="n">
        <v>33</v>
      </c>
      <c r="G337" s="19" t="n">
        <v>0</v>
      </c>
      <c r="H337" s="19" t="n">
        <v>23</v>
      </c>
      <c r="J337" s="19" t="n">
        <v>1</v>
      </c>
      <c r="L337" s="19" t="n">
        <v>32104</v>
      </c>
    </row>
    <row r="338" s="19" customFormat="true" ht="13.5" hidden="false" customHeight="true" outlineLevel="0" collapsed="false">
      <c r="A338" s="19" t="n">
        <v>4904</v>
      </c>
      <c r="B338" s="19" t="s">
        <v>541</v>
      </c>
      <c r="C338" s="19" t="n">
        <v>34</v>
      </c>
      <c r="G338" s="19" t="n">
        <v>0</v>
      </c>
      <c r="H338" s="19" t="n">
        <v>24</v>
      </c>
      <c r="J338" s="19" t="n">
        <v>1</v>
      </c>
      <c r="L338" s="19" t="n">
        <v>33488</v>
      </c>
    </row>
    <row r="339" s="19" customFormat="true" ht="13.5" hidden="false" customHeight="true" outlineLevel="0" collapsed="false">
      <c r="A339" s="19" t="n">
        <v>4904</v>
      </c>
      <c r="B339" s="19" t="s">
        <v>541</v>
      </c>
      <c r="C339" s="19" t="n">
        <v>35</v>
      </c>
      <c r="G339" s="19" t="n">
        <v>0</v>
      </c>
      <c r="H339" s="19" t="n">
        <v>25</v>
      </c>
      <c r="J339" s="19" t="n">
        <v>1</v>
      </c>
      <c r="L339" s="19" t="n">
        <v>35464</v>
      </c>
    </row>
    <row r="340" s="19" customFormat="true" ht="13.5" hidden="false" customHeight="true" outlineLevel="0" collapsed="false">
      <c r="A340" s="19" t="n">
        <v>4904</v>
      </c>
      <c r="B340" s="19" t="s">
        <v>541</v>
      </c>
      <c r="C340" s="19" t="n">
        <v>36</v>
      </c>
      <c r="G340" s="19" t="n">
        <v>0</v>
      </c>
      <c r="H340" s="19" t="n">
        <v>26</v>
      </c>
      <c r="J340" s="19" t="n">
        <v>1</v>
      </c>
      <c r="L340" s="19" t="n">
        <v>36384</v>
      </c>
    </row>
    <row r="341" s="19" customFormat="true" ht="13.5" hidden="false" customHeight="true" outlineLevel="0" collapsed="false">
      <c r="A341" s="19" t="n">
        <v>4904</v>
      </c>
      <c r="B341" s="19" t="s">
        <v>541</v>
      </c>
      <c r="C341" s="19" t="n">
        <v>37</v>
      </c>
      <c r="G341" s="19" t="n">
        <v>0</v>
      </c>
      <c r="H341" s="19" t="n">
        <v>27</v>
      </c>
      <c r="J341" s="19" t="n">
        <v>1</v>
      </c>
      <c r="L341" s="19" t="n">
        <v>39096</v>
      </c>
    </row>
    <row r="342" s="19" customFormat="true" ht="13.5" hidden="false" customHeight="true" outlineLevel="0" collapsed="false">
      <c r="A342" s="19" t="n">
        <v>4904</v>
      </c>
      <c r="B342" s="19" t="s">
        <v>541</v>
      </c>
      <c r="C342" s="19" t="n">
        <v>38</v>
      </c>
      <c r="G342" s="19" t="n">
        <v>0</v>
      </c>
      <c r="H342" s="19" t="n">
        <v>28</v>
      </c>
      <c r="J342" s="19" t="n">
        <v>1</v>
      </c>
      <c r="L342" s="19" t="n">
        <v>39468</v>
      </c>
    </row>
    <row r="343" s="19" customFormat="true" ht="13.5" hidden="false" customHeight="true" outlineLevel="0" collapsed="false">
      <c r="A343" s="19" t="n">
        <v>4904</v>
      </c>
      <c r="B343" s="19" t="s">
        <v>541</v>
      </c>
      <c r="C343" s="19" t="n">
        <v>39</v>
      </c>
      <c r="G343" s="19" t="n">
        <v>0</v>
      </c>
      <c r="H343" s="19" t="n">
        <v>29</v>
      </c>
      <c r="J343" s="19" t="n">
        <v>1</v>
      </c>
      <c r="L343" s="19" t="n">
        <v>42744</v>
      </c>
    </row>
    <row r="344" s="19" customFormat="true" ht="13.5" hidden="false" customHeight="true" outlineLevel="0" collapsed="false">
      <c r="A344" s="19" t="n">
        <v>4904</v>
      </c>
      <c r="B344" s="19" t="s">
        <v>541</v>
      </c>
      <c r="C344" s="19" t="n">
        <v>40</v>
      </c>
      <c r="G344" s="19" t="n">
        <v>0</v>
      </c>
      <c r="H344" s="19" t="n">
        <v>30</v>
      </c>
      <c r="J344" s="19" t="n">
        <v>1</v>
      </c>
      <c r="L344" s="19" t="n">
        <v>42936</v>
      </c>
    </row>
    <row r="345" s="19" customFormat="true" ht="13.5" hidden="false" customHeight="true" outlineLevel="0" collapsed="false">
      <c r="A345" s="19" t="n">
        <v>4904</v>
      </c>
      <c r="B345" s="19" t="s">
        <v>541</v>
      </c>
      <c r="C345" s="19" t="n">
        <v>41</v>
      </c>
      <c r="G345" s="19" t="n">
        <v>0</v>
      </c>
      <c r="H345" s="19" t="n">
        <v>31</v>
      </c>
      <c r="J345" s="19" t="n">
        <v>3</v>
      </c>
      <c r="L345" s="19" t="n">
        <v>46216</v>
      </c>
    </row>
    <row r="346" s="19" customFormat="true" ht="13.5" hidden="false" customHeight="true" outlineLevel="0" collapsed="false">
      <c r="A346" s="19" t="n">
        <v>4904</v>
      </c>
      <c r="B346" s="19" t="s">
        <v>541</v>
      </c>
      <c r="C346" s="19" t="n">
        <v>42</v>
      </c>
      <c r="G346" s="19" t="n">
        <v>0</v>
      </c>
      <c r="H346" s="19" t="n">
        <v>32</v>
      </c>
      <c r="J346" s="19" t="n">
        <v>6</v>
      </c>
      <c r="L346" s="19" t="n">
        <v>47168</v>
      </c>
    </row>
    <row r="347" s="19" customFormat="true" ht="13.5" hidden="false" customHeight="true" outlineLevel="0" collapsed="false">
      <c r="A347" s="19" t="n">
        <v>4904</v>
      </c>
      <c r="B347" s="19" t="s">
        <v>541</v>
      </c>
      <c r="C347" s="19" t="n">
        <v>43</v>
      </c>
      <c r="G347" s="19" t="n">
        <v>0</v>
      </c>
      <c r="H347" s="19" t="n">
        <v>33</v>
      </c>
      <c r="J347" s="19" t="n">
        <v>9</v>
      </c>
      <c r="L347" s="19" t="n">
        <v>49896</v>
      </c>
    </row>
    <row r="348" s="19" customFormat="true" ht="13.5" hidden="false" customHeight="true" outlineLevel="0" collapsed="false">
      <c r="A348" s="19" t="n">
        <v>4904</v>
      </c>
      <c r="B348" s="19" t="s">
        <v>541</v>
      </c>
      <c r="C348" s="19" t="n">
        <v>44</v>
      </c>
      <c r="G348" s="19" t="n">
        <v>0</v>
      </c>
      <c r="H348" s="19" t="n">
        <v>34</v>
      </c>
      <c r="J348" s="19" t="n">
        <v>12</v>
      </c>
      <c r="L348" s="19" t="n">
        <v>51632</v>
      </c>
    </row>
    <row r="349" s="19" customFormat="true" ht="13.5" hidden="false" customHeight="true" outlineLevel="0" collapsed="false">
      <c r="A349" s="19" t="n">
        <v>4904</v>
      </c>
      <c r="B349" s="19" t="s">
        <v>541</v>
      </c>
      <c r="C349" s="19" t="n">
        <v>45</v>
      </c>
      <c r="G349" s="19" t="n">
        <v>0</v>
      </c>
      <c r="H349" s="19" t="n">
        <v>35</v>
      </c>
      <c r="J349" s="19" t="n">
        <v>15</v>
      </c>
      <c r="L349" s="19" t="n">
        <v>53788</v>
      </c>
    </row>
    <row r="350" s="19" customFormat="true" ht="13.5" hidden="false" customHeight="true" outlineLevel="0" collapsed="false">
      <c r="A350" s="19" t="n">
        <v>4904</v>
      </c>
      <c r="B350" s="19" t="s">
        <v>541</v>
      </c>
      <c r="C350" s="19" t="n">
        <v>46</v>
      </c>
      <c r="G350" s="19" t="n">
        <v>0</v>
      </c>
      <c r="H350" s="19" t="n">
        <v>36</v>
      </c>
      <c r="J350" s="19" t="n">
        <v>18</v>
      </c>
      <c r="L350" s="19" t="n">
        <v>56416</v>
      </c>
    </row>
    <row r="351" s="19" customFormat="true" ht="13.5" hidden="false" customHeight="true" outlineLevel="0" collapsed="false">
      <c r="A351" s="19" t="n">
        <v>4904</v>
      </c>
      <c r="B351" s="19" t="s">
        <v>541</v>
      </c>
      <c r="C351" s="19" t="n">
        <v>47</v>
      </c>
      <c r="G351" s="19" t="n">
        <v>0</v>
      </c>
      <c r="H351" s="19" t="n">
        <v>37</v>
      </c>
      <c r="J351" s="19" t="n">
        <v>21</v>
      </c>
      <c r="L351" s="19" t="n">
        <v>57904</v>
      </c>
    </row>
    <row r="352" s="19" customFormat="true" ht="13.5" hidden="false" customHeight="true" outlineLevel="0" collapsed="false">
      <c r="A352" s="19" t="n">
        <v>4904</v>
      </c>
      <c r="B352" s="19" t="s">
        <v>541</v>
      </c>
      <c r="C352" s="19" t="n">
        <v>48</v>
      </c>
      <c r="G352" s="19" t="n">
        <v>0</v>
      </c>
      <c r="H352" s="19" t="n">
        <v>38</v>
      </c>
      <c r="J352" s="19" t="n">
        <v>24</v>
      </c>
      <c r="L352" s="19" t="n">
        <v>61528</v>
      </c>
    </row>
    <row r="353" s="19" customFormat="true" ht="13.5" hidden="false" customHeight="true" outlineLevel="0" collapsed="false">
      <c r="A353" s="19" t="n">
        <v>4904</v>
      </c>
      <c r="B353" s="19" t="s">
        <v>541</v>
      </c>
      <c r="C353" s="19" t="n">
        <v>49</v>
      </c>
      <c r="G353" s="19" t="n">
        <v>0</v>
      </c>
      <c r="H353" s="19" t="n">
        <v>39</v>
      </c>
      <c r="J353" s="19" t="n">
        <v>27</v>
      </c>
      <c r="L353" s="19" t="n">
        <v>62248</v>
      </c>
    </row>
    <row r="354" s="19" customFormat="true" ht="13.5" hidden="false" customHeight="true" outlineLevel="0" collapsed="false">
      <c r="A354" s="19" t="n">
        <v>4904</v>
      </c>
      <c r="B354" s="19" t="s">
        <v>541</v>
      </c>
      <c r="C354" s="19" t="n">
        <v>50</v>
      </c>
      <c r="G354" s="19" t="n">
        <v>0</v>
      </c>
      <c r="H354" s="19" t="n">
        <v>40</v>
      </c>
      <c r="J354" s="19" t="n">
        <v>30</v>
      </c>
      <c r="L354" s="19" t="n">
        <v>66836</v>
      </c>
    </row>
    <row r="355" s="19" customFormat="true" ht="13.5" hidden="false" customHeight="true" outlineLevel="0" collapsed="false">
      <c r="A355" s="19" t="n">
        <v>4904</v>
      </c>
      <c r="B355" s="19" t="s">
        <v>541</v>
      </c>
      <c r="C355" s="19" t="n">
        <v>51</v>
      </c>
      <c r="G355" s="19" t="n">
        <v>0</v>
      </c>
      <c r="H355" s="19" t="n">
        <v>41</v>
      </c>
      <c r="J355" s="19" t="n">
        <v>33</v>
      </c>
      <c r="L355" s="19" t="n">
        <v>71668</v>
      </c>
    </row>
    <row r="356" s="19" customFormat="true" ht="13.5" hidden="false" customHeight="true" outlineLevel="0" collapsed="false">
      <c r="A356" s="19" t="n">
        <v>4904</v>
      </c>
      <c r="B356" s="19" t="s">
        <v>541</v>
      </c>
      <c r="C356" s="19" t="n">
        <v>52</v>
      </c>
      <c r="G356" s="19" t="n">
        <v>0</v>
      </c>
      <c r="H356" s="19" t="n">
        <v>42</v>
      </c>
      <c r="J356" s="19" t="n">
        <v>36</v>
      </c>
      <c r="L356" s="19" t="n">
        <v>76760</v>
      </c>
    </row>
    <row r="357" s="19" customFormat="true" ht="13.5" hidden="false" customHeight="true" outlineLevel="0" collapsed="false">
      <c r="A357" s="19" t="n">
        <v>4904</v>
      </c>
      <c r="B357" s="19" t="s">
        <v>541</v>
      </c>
      <c r="C357" s="19" t="n">
        <v>53</v>
      </c>
      <c r="G357" s="19" t="n">
        <v>0</v>
      </c>
      <c r="H357" s="19" t="n">
        <v>43</v>
      </c>
      <c r="J357" s="19" t="n">
        <v>39</v>
      </c>
      <c r="L357" s="19" t="n">
        <v>82116</v>
      </c>
    </row>
    <row r="358" s="19" customFormat="true" ht="13.5" hidden="false" customHeight="true" outlineLevel="0" collapsed="false">
      <c r="A358" s="19" t="n">
        <v>4904</v>
      </c>
      <c r="B358" s="19" t="s">
        <v>541</v>
      </c>
      <c r="C358" s="19" t="n">
        <v>54</v>
      </c>
      <c r="G358" s="19" t="n">
        <v>0</v>
      </c>
      <c r="H358" s="19" t="n">
        <v>44</v>
      </c>
      <c r="J358" s="19" t="n">
        <v>42</v>
      </c>
      <c r="L358" s="19" t="n">
        <v>87744</v>
      </c>
    </row>
    <row r="359" s="19" customFormat="true" ht="13.5" hidden="false" customHeight="true" outlineLevel="0" collapsed="false">
      <c r="A359" s="19" t="n">
        <v>4904</v>
      </c>
      <c r="B359" s="19" t="s">
        <v>541</v>
      </c>
      <c r="C359" s="19" t="n">
        <v>55</v>
      </c>
      <c r="G359" s="19" t="n">
        <v>0</v>
      </c>
      <c r="H359" s="19" t="n">
        <v>45</v>
      </c>
      <c r="J359" s="19" t="n">
        <v>45</v>
      </c>
      <c r="L359" s="19" t="n">
        <v>93656</v>
      </c>
    </row>
    <row r="360" s="19" customFormat="true" ht="13.5" hidden="false" customHeight="true" outlineLevel="0" collapsed="false">
      <c r="A360" s="19" t="n">
        <v>4904</v>
      </c>
      <c r="B360" s="19" t="s">
        <v>541</v>
      </c>
      <c r="C360" s="19" t="n">
        <v>56</v>
      </c>
      <c r="G360" s="19" t="n">
        <v>0</v>
      </c>
      <c r="H360" s="19" t="n">
        <v>46</v>
      </c>
      <c r="J360" s="19" t="n">
        <v>48</v>
      </c>
      <c r="L360" s="19" t="n">
        <v>99864</v>
      </c>
    </row>
    <row r="361" s="19" customFormat="true" ht="13.5" hidden="false" customHeight="true" outlineLevel="0" collapsed="false">
      <c r="A361" s="19" t="n">
        <v>4904</v>
      </c>
      <c r="B361" s="19" t="s">
        <v>541</v>
      </c>
      <c r="C361" s="19" t="n">
        <v>57</v>
      </c>
      <c r="G361" s="19" t="n">
        <v>0</v>
      </c>
      <c r="H361" s="19" t="n">
        <v>47</v>
      </c>
      <c r="J361" s="19" t="n">
        <v>51</v>
      </c>
      <c r="L361" s="19" t="n">
        <v>106372</v>
      </c>
    </row>
    <row r="362" s="19" customFormat="true" ht="13.5" hidden="false" customHeight="true" outlineLevel="0" collapsed="false">
      <c r="A362" s="19" t="n">
        <v>4904</v>
      </c>
      <c r="B362" s="19" t="s">
        <v>541</v>
      </c>
      <c r="C362" s="19" t="n">
        <v>58</v>
      </c>
      <c r="G362" s="19" t="n">
        <v>0</v>
      </c>
      <c r="H362" s="19" t="n">
        <v>48</v>
      </c>
      <c r="J362" s="19" t="n">
        <v>54</v>
      </c>
      <c r="L362" s="19" t="n">
        <v>113192</v>
      </c>
    </row>
    <row r="363" s="19" customFormat="true" ht="13.5" hidden="false" customHeight="true" outlineLevel="0" collapsed="false">
      <c r="A363" s="19" t="n">
        <v>4904</v>
      </c>
      <c r="B363" s="19" t="s">
        <v>541</v>
      </c>
      <c r="C363" s="19" t="n">
        <v>59</v>
      </c>
      <c r="G363" s="19" t="n">
        <v>0</v>
      </c>
      <c r="H363" s="19" t="n">
        <v>49</v>
      </c>
      <c r="J363" s="19" t="n">
        <v>57</v>
      </c>
      <c r="L363" s="19" t="n">
        <v>120336</v>
      </c>
    </row>
    <row r="364" s="19" customFormat="true" ht="13.5" hidden="false" customHeight="true" outlineLevel="0" collapsed="false">
      <c r="A364" s="19" t="n">
        <v>4904</v>
      </c>
      <c r="B364" s="19" t="s">
        <v>541</v>
      </c>
      <c r="C364" s="19" t="n">
        <v>60</v>
      </c>
      <c r="G364" s="19" t="n">
        <v>0</v>
      </c>
      <c r="H364" s="19" t="n">
        <v>50</v>
      </c>
      <c r="J364" s="19" t="n">
        <v>60</v>
      </c>
      <c r="L364" s="19" t="n">
        <v>127808</v>
      </c>
    </row>
    <row r="365" s="19" customFormat="true" ht="13.5" hidden="false" customHeight="true" outlineLevel="0" collapsed="false">
      <c r="A365" s="19" t="n">
        <v>4904</v>
      </c>
      <c r="B365" s="19" t="s">
        <v>541</v>
      </c>
      <c r="C365" s="19" t="n">
        <v>61</v>
      </c>
      <c r="G365" s="19" t="n">
        <v>1000</v>
      </c>
      <c r="H365" s="19" t="n">
        <v>51</v>
      </c>
      <c r="J365" s="19" t="n">
        <v>65</v>
      </c>
      <c r="L365" s="19" t="n">
        <v>135620</v>
      </c>
    </row>
    <row r="366" s="19" customFormat="true" ht="13.5" hidden="false" customHeight="true" outlineLevel="0" collapsed="false">
      <c r="A366" s="19" t="n">
        <v>4904</v>
      </c>
      <c r="B366" s="19" t="s">
        <v>541</v>
      </c>
      <c r="C366" s="19" t="n">
        <v>62</v>
      </c>
      <c r="G366" s="19" t="n">
        <v>1500</v>
      </c>
      <c r="H366" s="19" t="n">
        <v>52</v>
      </c>
      <c r="J366" s="19" t="n">
        <v>70</v>
      </c>
      <c r="L366" s="19" t="n">
        <v>143784</v>
      </c>
    </row>
    <row r="367" s="19" customFormat="true" ht="13.5" hidden="false" customHeight="true" outlineLevel="0" collapsed="false">
      <c r="A367" s="19" t="n">
        <v>4904</v>
      </c>
      <c r="B367" s="19" t="s">
        <v>541</v>
      </c>
      <c r="C367" s="19" t="n">
        <v>63</v>
      </c>
      <c r="G367" s="19" t="n">
        <v>2000</v>
      </c>
      <c r="H367" s="19" t="n">
        <v>53</v>
      </c>
      <c r="J367" s="19" t="n">
        <v>75</v>
      </c>
      <c r="L367" s="19" t="n">
        <v>152308</v>
      </c>
    </row>
    <row r="368" s="19" customFormat="true" ht="13.5" hidden="false" customHeight="true" outlineLevel="0" collapsed="false">
      <c r="A368" s="19" t="n">
        <v>4904</v>
      </c>
      <c r="B368" s="19" t="s">
        <v>541</v>
      </c>
      <c r="C368" s="19" t="n">
        <v>64</v>
      </c>
      <c r="G368" s="19" t="n">
        <v>2500</v>
      </c>
      <c r="H368" s="19" t="n">
        <v>54</v>
      </c>
      <c r="J368" s="19" t="n">
        <v>80</v>
      </c>
      <c r="L368" s="19" t="n">
        <v>161208</v>
      </c>
    </row>
    <row r="369" s="19" customFormat="true" ht="13.5" hidden="false" customHeight="true" outlineLevel="0" collapsed="false">
      <c r="A369" s="19" t="n">
        <v>4904</v>
      </c>
      <c r="B369" s="19" t="s">
        <v>541</v>
      </c>
      <c r="C369" s="19" t="n">
        <v>65</v>
      </c>
      <c r="G369" s="19" t="n">
        <v>3000</v>
      </c>
      <c r="H369" s="19" t="n">
        <v>55</v>
      </c>
      <c r="J369" s="19" t="n">
        <v>85</v>
      </c>
      <c r="L369" s="19" t="n">
        <v>170488</v>
      </c>
    </row>
    <row r="370" s="19" customFormat="true" ht="13.5" hidden="false" customHeight="true" outlineLevel="0" collapsed="false">
      <c r="A370" s="19" t="n">
        <v>4904</v>
      </c>
      <c r="B370" s="19" t="s">
        <v>541</v>
      </c>
      <c r="C370" s="19" t="n">
        <v>66</v>
      </c>
      <c r="G370" s="19" t="n">
        <v>3500</v>
      </c>
      <c r="H370" s="19" t="n">
        <v>56</v>
      </c>
      <c r="J370" s="19" t="n">
        <v>90</v>
      </c>
      <c r="L370" s="19" t="n">
        <v>180164</v>
      </c>
    </row>
    <row r="371" s="19" customFormat="true" ht="13.5" hidden="false" customHeight="true" outlineLevel="0" collapsed="false">
      <c r="A371" s="19" t="n">
        <v>4904</v>
      </c>
      <c r="B371" s="19" t="s">
        <v>541</v>
      </c>
      <c r="C371" s="19" t="n">
        <v>67</v>
      </c>
      <c r="G371" s="19" t="n">
        <v>4000</v>
      </c>
      <c r="H371" s="19" t="n">
        <v>57</v>
      </c>
      <c r="J371" s="19" t="n">
        <v>95</v>
      </c>
      <c r="L371" s="19" t="n">
        <v>190244</v>
      </c>
    </row>
    <row r="372" s="19" customFormat="true" ht="13.5" hidden="false" customHeight="true" outlineLevel="0" collapsed="false">
      <c r="A372" s="19" t="n">
        <v>4904</v>
      </c>
      <c r="B372" s="19" t="s">
        <v>541</v>
      </c>
      <c r="C372" s="19" t="n">
        <v>68</v>
      </c>
      <c r="G372" s="19" t="n">
        <v>4500</v>
      </c>
      <c r="H372" s="19" t="n">
        <v>58</v>
      </c>
      <c r="J372" s="19" t="n">
        <v>100</v>
      </c>
      <c r="L372" s="19" t="n">
        <v>200740</v>
      </c>
    </row>
    <row r="373" s="19" customFormat="true" ht="13.5" hidden="false" customHeight="true" outlineLevel="0" collapsed="false">
      <c r="A373" s="19" t="n">
        <v>4904</v>
      </c>
      <c r="B373" s="19" t="s">
        <v>541</v>
      </c>
      <c r="C373" s="19" t="n">
        <v>69</v>
      </c>
      <c r="G373" s="19" t="n">
        <v>5000</v>
      </c>
      <c r="H373" s="19" t="n">
        <v>59</v>
      </c>
      <c r="J373" s="19" t="n">
        <v>105</v>
      </c>
      <c r="L373" s="19" t="n">
        <v>211656</v>
      </c>
    </row>
    <row r="374" s="19" customFormat="true" ht="13.5" hidden="false" customHeight="true" outlineLevel="0" collapsed="false">
      <c r="A374" s="19" t="n">
        <v>4904</v>
      </c>
      <c r="B374" s="19" t="s">
        <v>541</v>
      </c>
      <c r="C374" s="19" t="n">
        <v>70</v>
      </c>
      <c r="G374" s="19" t="n">
        <v>5500</v>
      </c>
      <c r="H374" s="19" t="n">
        <v>60</v>
      </c>
      <c r="J374" s="19" t="n">
        <v>110</v>
      </c>
      <c r="L374" s="19" t="n">
        <v>223016</v>
      </c>
    </row>
    <row r="375" s="19" customFormat="true" ht="13.5" hidden="false" customHeight="true" outlineLevel="0" collapsed="false">
      <c r="A375" s="19" t="n">
        <v>4904</v>
      </c>
      <c r="B375" s="19" t="s">
        <v>541</v>
      </c>
      <c r="C375" s="19" t="n">
        <v>71</v>
      </c>
      <c r="G375" s="19" t="n">
        <v>6000</v>
      </c>
      <c r="H375" s="19" t="n">
        <v>61</v>
      </c>
      <c r="J375" s="19" t="n">
        <v>115</v>
      </c>
      <c r="L375" s="19" t="n">
        <v>234828</v>
      </c>
    </row>
    <row r="376" s="19" customFormat="true" ht="13.5" hidden="false" customHeight="true" outlineLevel="0" collapsed="false">
      <c r="A376" s="19" t="n">
        <v>4904</v>
      </c>
      <c r="B376" s="19" t="s">
        <v>541</v>
      </c>
      <c r="C376" s="19" t="n">
        <v>72</v>
      </c>
      <c r="G376" s="19" t="n">
        <v>6500</v>
      </c>
      <c r="H376" s="19" t="n">
        <v>62</v>
      </c>
      <c r="J376" s="19" t="n">
        <v>120</v>
      </c>
      <c r="L376" s="19" t="n">
        <v>247096</v>
      </c>
    </row>
    <row r="377" s="19" customFormat="true" ht="13.5" hidden="false" customHeight="true" outlineLevel="0" collapsed="false">
      <c r="A377" s="19" t="n">
        <v>4904</v>
      </c>
      <c r="B377" s="19" t="s">
        <v>541</v>
      </c>
      <c r="C377" s="19" t="n">
        <v>73</v>
      </c>
      <c r="G377" s="19" t="n">
        <v>7000</v>
      </c>
      <c r="H377" s="19" t="n">
        <v>63</v>
      </c>
      <c r="J377" s="19" t="n">
        <v>125</v>
      </c>
      <c r="L377" s="19" t="n">
        <v>259840</v>
      </c>
    </row>
    <row r="378" s="19" customFormat="true" ht="13.5" hidden="false" customHeight="true" outlineLevel="0" collapsed="false">
      <c r="A378" s="19" t="n">
        <v>4904</v>
      </c>
      <c r="B378" s="19" t="s">
        <v>541</v>
      </c>
      <c r="C378" s="19" t="n">
        <v>74</v>
      </c>
      <c r="G378" s="19" t="n">
        <v>7500</v>
      </c>
      <c r="H378" s="19" t="n">
        <v>64</v>
      </c>
      <c r="J378" s="19" t="n">
        <v>130</v>
      </c>
      <c r="L378" s="19" t="n">
        <v>273064</v>
      </c>
    </row>
    <row r="379" s="19" customFormat="true" ht="13.5" hidden="false" customHeight="true" outlineLevel="0" collapsed="false">
      <c r="A379" s="19" t="n">
        <v>4904</v>
      </c>
      <c r="B379" s="19" t="s">
        <v>541</v>
      </c>
      <c r="C379" s="19" t="n">
        <v>75</v>
      </c>
      <c r="G379" s="19" t="n">
        <v>8000</v>
      </c>
      <c r="H379" s="19" t="n">
        <v>65</v>
      </c>
      <c r="J379" s="19" t="n">
        <v>135</v>
      </c>
      <c r="L379" s="19" t="n">
        <v>286788</v>
      </c>
    </row>
    <row r="380" s="19" customFormat="true" ht="13.5" hidden="false" customHeight="true" outlineLevel="0" collapsed="false">
      <c r="A380" s="19" t="n">
        <v>4904</v>
      </c>
      <c r="B380" s="19" t="s">
        <v>541</v>
      </c>
      <c r="C380" s="19" t="n">
        <v>76</v>
      </c>
      <c r="G380" s="19" t="n">
        <v>8500</v>
      </c>
      <c r="H380" s="19" t="n">
        <v>66</v>
      </c>
      <c r="J380" s="19" t="n">
        <v>140</v>
      </c>
      <c r="L380" s="19" t="n">
        <v>301024</v>
      </c>
    </row>
    <row r="381" s="19" customFormat="true" ht="13.5" hidden="false" customHeight="true" outlineLevel="0" collapsed="false">
      <c r="A381" s="19" t="n">
        <v>4904</v>
      </c>
      <c r="B381" s="19" t="s">
        <v>541</v>
      </c>
      <c r="C381" s="19" t="n">
        <v>77</v>
      </c>
      <c r="G381" s="19" t="n">
        <v>9000</v>
      </c>
      <c r="H381" s="19" t="n">
        <v>67</v>
      </c>
      <c r="J381" s="19" t="n">
        <v>145</v>
      </c>
      <c r="L381" s="19" t="n">
        <v>315776</v>
      </c>
    </row>
    <row r="382" s="19" customFormat="true" ht="13.5" hidden="false" customHeight="true" outlineLevel="0" collapsed="false">
      <c r="A382" s="19" t="n">
        <v>4904</v>
      </c>
      <c r="B382" s="19" t="s">
        <v>541</v>
      </c>
      <c r="C382" s="19" t="n">
        <v>78</v>
      </c>
      <c r="G382" s="19" t="n">
        <v>9500</v>
      </c>
      <c r="H382" s="19" t="n">
        <v>68</v>
      </c>
      <c r="J382" s="19" t="n">
        <v>150</v>
      </c>
      <c r="L382" s="19" t="n">
        <v>331064</v>
      </c>
    </row>
    <row r="383" s="19" customFormat="true" ht="13.5" hidden="false" customHeight="true" outlineLevel="0" collapsed="false">
      <c r="A383" s="19" t="n">
        <v>4904</v>
      </c>
      <c r="B383" s="19" t="s">
        <v>541</v>
      </c>
      <c r="C383" s="19" t="n">
        <v>79</v>
      </c>
      <c r="G383" s="19" t="n">
        <v>10000</v>
      </c>
      <c r="H383" s="19" t="n">
        <v>69</v>
      </c>
      <c r="J383" s="19" t="n">
        <v>155</v>
      </c>
      <c r="L383" s="19" t="n">
        <v>346896</v>
      </c>
    </row>
    <row r="384" s="19" customFormat="true" ht="13.5" hidden="false" customHeight="true" outlineLevel="0" collapsed="false">
      <c r="A384" s="19" t="n">
        <v>4904</v>
      </c>
      <c r="B384" s="19" t="s">
        <v>541</v>
      </c>
      <c r="C384" s="19" t="n">
        <v>80</v>
      </c>
      <c r="G384" s="19" t="n">
        <v>10500</v>
      </c>
      <c r="H384" s="19" t="n">
        <v>70</v>
      </c>
      <c r="J384" s="19" t="n">
        <v>165</v>
      </c>
      <c r="L384" s="19" t="n">
        <v>363292</v>
      </c>
    </row>
    <row r="385" s="19" customFormat="true" ht="13.5" hidden="false" customHeight="true" outlineLevel="0" collapsed="false">
      <c r="A385" s="19" t="n">
        <v>4904</v>
      </c>
      <c r="B385" s="19" t="s">
        <v>541</v>
      </c>
      <c r="C385" s="19" t="n">
        <v>81</v>
      </c>
      <c r="G385" s="19" t="n">
        <v>11000</v>
      </c>
      <c r="H385" s="19" t="n">
        <v>71</v>
      </c>
      <c r="J385" s="19" t="n">
        <v>175</v>
      </c>
      <c r="L385" s="19" t="n">
        <v>380260</v>
      </c>
    </row>
    <row r="386" s="19" customFormat="true" ht="13.5" hidden="false" customHeight="true" outlineLevel="0" collapsed="false">
      <c r="A386" s="19" t="n">
        <v>4904</v>
      </c>
      <c r="B386" s="19" t="s">
        <v>541</v>
      </c>
      <c r="C386" s="19" t="n">
        <v>82</v>
      </c>
      <c r="G386" s="19" t="n">
        <v>11500</v>
      </c>
      <c r="H386" s="19" t="n">
        <v>72</v>
      </c>
      <c r="J386" s="19" t="n">
        <v>185</v>
      </c>
      <c r="L386" s="19" t="n">
        <v>397808</v>
      </c>
    </row>
    <row r="387" s="19" customFormat="true" ht="13.5" hidden="false" customHeight="true" outlineLevel="0" collapsed="false">
      <c r="A387" s="19" t="n">
        <v>4904</v>
      </c>
      <c r="B387" s="19" t="s">
        <v>541</v>
      </c>
      <c r="C387" s="19" t="n">
        <v>83</v>
      </c>
      <c r="G387" s="19" t="n">
        <v>12000</v>
      </c>
      <c r="H387" s="19" t="n">
        <v>73</v>
      </c>
      <c r="J387" s="19" t="n">
        <v>195</v>
      </c>
      <c r="L387" s="19" t="n">
        <v>415964</v>
      </c>
    </row>
    <row r="388" s="19" customFormat="true" ht="13.5" hidden="false" customHeight="true" outlineLevel="0" collapsed="false">
      <c r="A388" s="19" t="n">
        <v>4904</v>
      </c>
      <c r="B388" s="19" t="s">
        <v>541</v>
      </c>
      <c r="C388" s="19" t="n">
        <v>84</v>
      </c>
      <c r="G388" s="19" t="n">
        <v>12500</v>
      </c>
      <c r="H388" s="19" t="n">
        <v>74</v>
      </c>
      <c r="J388" s="19" t="n">
        <v>205</v>
      </c>
      <c r="L388" s="19" t="n">
        <v>434724</v>
      </c>
    </row>
    <row r="389" s="19" customFormat="true" ht="13.5" hidden="false" customHeight="true" outlineLevel="0" collapsed="false">
      <c r="A389" s="19" t="n">
        <v>4904</v>
      </c>
      <c r="B389" s="19" t="s">
        <v>541</v>
      </c>
      <c r="C389" s="19" t="n">
        <v>85</v>
      </c>
      <c r="G389" s="19" t="n">
        <v>13000</v>
      </c>
      <c r="H389" s="19" t="n">
        <v>75</v>
      </c>
      <c r="J389" s="19" t="n">
        <v>215</v>
      </c>
      <c r="L389" s="19" t="n">
        <v>454112</v>
      </c>
    </row>
    <row r="390" s="19" customFormat="true" ht="13.5" hidden="false" customHeight="true" outlineLevel="0" collapsed="false">
      <c r="A390" s="19" t="n">
        <v>4904</v>
      </c>
      <c r="B390" s="19" t="s">
        <v>541</v>
      </c>
      <c r="C390" s="19" t="n">
        <v>86</v>
      </c>
      <c r="G390" s="19" t="n">
        <v>13500</v>
      </c>
      <c r="H390" s="19" t="n">
        <v>76</v>
      </c>
      <c r="J390" s="19" t="n">
        <v>225</v>
      </c>
      <c r="L390" s="19" t="n">
        <v>474140</v>
      </c>
    </row>
    <row r="391" s="19" customFormat="true" ht="13.5" hidden="false" customHeight="true" outlineLevel="0" collapsed="false">
      <c r="A391" s="19" t="n">
        <v>4904</v>
      </c>
      <c r="B391" s="19" t="s">
        <v>541</v>
      </c>
      <c r="C391" s="19" t="n">
        <v>87</v>
      </c>
      <c r="G391" s="19" t="n">
        <v>14000</v>
      </c>
      <c r="H391" s="19" t="n">
        <v>77</v>
      </c>
      <c r="J391" s="19" t="n">
        <v>235</v>
      </c>
      <c r="L391" s="19" t="n">
        <v>494820</v>
      </c>
    </row>
    <row r="392" s="19" customFormat="true" ht="13.5" hidden="false" customHeight="true" outlineLevel="0" collapsed="false">
      <c r="A392" s="19" t="n">
        <v>4904</v>
      </c>
      <c r="B392" s="19" t="s">
        <v>541</v>
      </c>
      <c r="C392" s="19" t="n">
        <v>88</v>
      </c>
      <c r="G392" s="19" t="n">
        <v>14500</v>
      </c>
      <c r="H392" s="19" t="n">
        <v>78</v>
      </c>
      <c r="J392" s="19" t="n">
        <v>245</v>
      </c>
      <c r="L392" s="19" t="n">
        <v>516168</v>
      </c>
    </row>
    <row r="393" s="19" customFormat="true" ht="13.5" hidden="false" customHeight="true" outlineLevel="0" collapsed="false">
      <c r="A393" s="19" t="n">
        <v>4904</v>
      </c>
      <c r="B393" s="19" t="s">
        <v>541</v>
      </c>
      <c r="C393" s="19" t="n">
        <v>89</v>
      </c>
      <c r="G393" s="19" t="n">
        <v>15000</v>
      </c>
      <c r="H393" s="19" t="n">
        <v>79</v>
      </c>
      <c r="J393" s="19" t="n">
        <v>255</v>
      </c>
      <c r="L393" s="19" t="n">
        <v>538200</v>
      </c>
    </row>
    <row r="394" s="19" customFormat="true" ht="13.5" hidden="false" customHeight="true" outlineLevel="0" collapsed="false">
      <c r="A394" s="19" t="n">
        <v>4904</v>
      </c>
      <c r="B394" s="19" t="s">
        <v>541</v>
      </c>
      <c r="C394" s="19" t="n">
        <v>90</v>
      </c>
      <c r="G394" s="19" t="n">
        <v>15500</v>
      </c>
      <c r="H394" s="19" t="n">
        <v>80</v>
      </c>
      <c r="J394" s="19" t="n">
        <v>265</v>
      </c>
      <c r="L394" s="19" t="n">
        <v>560924</v>
      </c>
    </row>
    <row r="395" s="19" customFormat="true" ht="13.5" hidden="false" customHeight="true" outlineLevel="0" collapsed="false">
      <c r="A395" s="19" t="n">
        <v>4904</v>
      </c>
      <c r="B395" s="19" t="s">
        <v>541</v>
      </c>
      <c r="C395" s="19" t="n">
        <v>91</v>
      </c>
      <c r="G395" s="19" t="n">
        <v>16000</v>
      </c>
      <c r="H395" s="19" t="n">
        <v>81</v>
      </c>
      <c r="J395" s="19" t="n">
        <v>275</v>
      </c>
      <c r="L395" s="19" t="n">
        <v>584356</v>
      </c>
    </row>
    <row r="396" s="19" customFormat="true" ht="13.5" hidden="false" customHeight="true" outlineLevel="0" collapsed="false">
      <c r="A396" s="19" t="n">
        <v>4904</v>
      </c>
      <c r="B396" s="19" t="s">
        <v>541</v>
      </c>
      <c r="C396" s="19" t="n">
        <v>92</v>
      </c>
      <c r="G396" s="19" t="n">
        <v>16500</v>
      </c>
      <c r="H396" s="19" t="n">
        <v>82</v>
      </c>
      <c r="J396" s="19" t="n">
        <v>285</v>
      </c>
      <c r="L396" s="19" t="n">
        <v>608516</v>
      </c>
    </row>
    <row r="397" s="19" customFormat="true" ht="13.5" hidden="false" customHeight="true" outlineLevel="0" collapsed="false">
      <c r="A397" s="19" t="n">
        <v>4904</v>
      </c>
      <c r="B397" s="19" t="s">
        <v>541</v>
      </c>
      <c r="C397" s="19" t="n">
        <v>93</v>
      </c>
      <c r="G397" s="19" t="n">
        <v>17000</v>
      </c>
      <c r="H397" s="19" t="n">
        <v>83</v>
      </c>
      <c r="J397" s="19" t="n">
        <v>295</v>
      </c>
      <c r="L397" s="19" t="n">
        <v>633416</v>
      </c>
    </row>
    <row r="398" s="19" customFormat="true" ht="13.5" hidden="false" customHeight="true" outlineLevel="0" collapsed="false">
      <c r="A398" s="19" t="n">
        <v>4904</v>
      </c>
      <c r="B398" s="19" t="s">
        <v>541</v>
      </c>
      <c r="C398" s="19" t="n">
        <v>94</v>
      </c>
      <c r="G398" s="19" t="n">
        <v>17500</v>
      </c>
      <c r="H398" s="19" t="n">
        <v>84</v>
      </c>
      <c r="J398" s="19" t="n">
        <v>305</v>
      </c>
      <c r="L398" s="19" t="n">
        <v>659064</v>
      </c>
    </row>
    <row r="399" s="19" customFormat="true" ht="13.5" hidden="false" customHeight="true" outlineLevel="0" collapsed="false">
      <c r="A399" s="19" t="n">
        <v>4904</v>
      </c>
      <c r="B399" s="19" t="s">
        <v>541</v>
      </c>
      <c r="C399" s="19" t="n">
        <v>95</v>
      </c>
      <c r="G399" s="19" t="n">
        <v>18000</v>
      </c>
      <c r="H399" s="19" t="n">
        <v>85</v>
      </c>
      <c r="J399" s="19" t="n">
        <v>315</v>
      </c>
      <c r="L399" s="19" t="n">
        <v>685488</v>
      </c>
    </row>
    <row r="400" s="19" customFormat="true" ht="13.5" hidden="false" customHeight="true" outlineLevel="0" collapsed="false">
      <c r="A400" s="19" t="n">
        <v>4904</v>
      </c>
      <c r="B400" s="19" t="s">
        <v>541</v>
      </c>
      <c r="C400" s="19" t="n">
        <v>96</v>
      </c>
      <c r="G400" s="19" t="n">
        <v>18500</v>
      </c>
      <c r="H400" s="19" t="n">
        <v>86</v>
      </c>
      <c r="J400" s="19" t="n">
        <v>325</v>
      </c>
      <c r="L400" s="19" t="n">
        <v>712696</v>
      </c>
    </row>
    <row r="401" s="19" customFormat="true" ht="13.5" hidden="false" customHeight="true" outlineLevel="0" collapsed="false">
      <c r="A401" s="19" t="n">
        <v>4904</v>
      </c>
      <c r="B401" s="19" t="s">
        <v>541</v>
      </c>
      <c r="C401" s="19" t="n">
        <v>97</v>
      </c>
      <c r="G401" s="19" t="n">
        <v>19000</v>
      </c>
      <c r="H401" s="19" t="n">
        <v>87</v>
      </c>
      <c r="J401" s="19" t="n">
        <v>335</v>
      </c>
      <c r="L401" s="19" t="n">
        <v>740700</v>
      </c>
    </row>
    <row r="402" s="19" customFormat="true" ht="13.5" hidden="false" customHeight="true" outlineLevel="0" collapsed="false">
      <c r="A402" s="19" t="n">
        <v>4904</v>
      </c>
      <c r="B402" s="19" t="s">
        <v>541</v>
      </c>
      <c r="C402" s="19" t="n">
        <v>98</v>
      </c>
      <c r="G402" s="19" t="n">
        <v>19500</v>
      </c>
      <c r="H402" s="19" t="n">
        <v>88</v>
      </c>
      <c r="J402" s="19" t="n">
        <v>345</v>
      </c>
      <c r="L402" s="19" t="n">
        <v>769520</v>
      </c>
    </row>
    <row r="403" s="19" customFormat="true" ht="13.5" hidden="false" customHeight="true" outlineLevel="0" collapsed="false">
      <c r="A403" s="19" t="n">
        <v>4904</v>
      </c>
      <c r="B403" s="19" t="s">
        <v>541</v>
      </c>
      <c r="C403" s="19" t="n">
        <v>99</v>
      </c>
      <c r="G403" s="19" t="n">
        <v>20000</v>
      </c>
      <c r="H403" s="19" t="n">
        <v>89</v>
      </c>
      <c r="J403" s="19" t="n">
        <v>355</v>
      </c>
      <c r="L403" s="19" t="n">
        <v>799168</v>
      </c>
    </row>
    <row r="404" s="19" customFormat="true" ht="13.5" hidden="false" customHeight="true" outlineLevel="0" collapsed="false">
      <c r="A404" s="19" t="n">
        <v>4904</v>
      </c>
      <c r="B404" s="19" t="s">
        <v>541</v>
      </c>
      <c r="C404" s="19" t="n">
        <v>100</v>
      </c>
      <c r="G404" s="19" t="n">
        <v>20500</v>
      </c>
      <c r="H404" s="19" t="n">
        <v>90</v>
      </c>
      <c r="J404" s="19" t="n">
        <v>365</v>
      </c>
      <c r="L404" s="19" t="n">
        <v>829668</v>
      </c>
    </row>
    <row r="405" s="21" customFormat="true" ht="13.5" hidden="false" customHeight="true" outlineLevel="0" collapsed="false">
      <c r="A405" s="21" t="n">
        <v>4905</v>
      </c>
      <c r="B405" s="21" t="s">
        <v>544</v>
      </c>
      <c r="C405" s="21" t="n">
        <v>1</v>
      </c>
      <c r="D405" s="21" t="s">
        <v>544</v>
      </c>
      <c r="E405" s="21" t="s">
        <v>545</v>
      </c>
      <c r="F405" s="21" t="s">
        <v>546</v>
      </c>
      <c r="G405" s="21" t="n">
        <v>0</v>
      </c>
      <c r="H405" s="21" t="n">
        <v>0</v>
      </c>
      <c r="J405" s="21" t="n">
        <v>0</v>
      </c>
      <c r="L405" s="21" t="n">
        <v>100</v>
      </c>
    </row>
    <row r="406" s="21" customFormat="true" ht="13.5" hidden="false" customHeight="true" outlineLevel="0" collapsed="false">
      <c r="A406" s="21" t="n">
        <v>4905</v>
      </c>
      <c r="B406" s="21" t="s">
        <v>544</v>
      </c>
      <c r="C406" s="21" t="n">
        <v>2</v>
      </c>
      <c r="G406" s="21" t="n">
        <v>0</v>
      </c>
      <c r="H406" s="21" t="n">
        <v>0</v>
      </c>
      <c r="J406" s="21" t="n">
        <v>0</v>
      </c>
      <c r="L406" s="21" t="n">
        <v>180</v>
      </c>
    </row>
    <row r="407" s="21" customFormat="true" ht="13.5" hidden="false" customHeight="true" outlineLevel="0" collapsed="false">
      <c r="A407" s="21" t="n">
        <v>4905</v>
      </c>
      <c r="B407" s="21" t="s">
        <v>544</v>
      </c>
      <c r="C407" s="21" t="n">
        <v>3</v>
      </c>
      <c r="G407" s="21" t="n">
        <v>0</v>
      </c>
      <c r="H407" s="21" t="n">
        <v>0</v>
      </c>
      <c r="J407" s="21" t="n">
        <v>0</v>
      </c>
      <c r="L407" s="21" t="n">
        <v>280</v>
      </c>
    </row>
    <row r="408" s="21" customFormat="true" ht="13.5" hidden="false" customHeight="true" outlineLevel="0" collapsed="false">
      <c r="A408" s="21" t="n">
        <v>4905</v>
      </c>
      <c r="B408" s="21" t="s">
        <v>544</v>
      </c>
      <c r="C408" s="21" t="n">
        <v>4</v>
      </c>
      <c r="G408" s="21" t="n">
        <v>0</v>
      </c>
      <c r="H408" s="21" t="n">
        <v>0</v>
      </c>
      <c r="J408" s="21" t="n">
        <v>0</v>
      </c>
      <c r="L408" s="21" t="n">
        <v>440</v>
      </c>
    </row>
    <row r="409" s="21" customFormat="true" ht="13.5" hidden="false" customHeight="true" outlineLevel="0" collapsed="false">
      <c r="A409" s="21" t="n">
        <v>4905</v>
      </c>
      <c r="B409" s="21" t="s">
        <v>544</v>
      </c>
      <c r="C409" s="21" t="n">
        <v>5</v>
      </c>
      <c r="G409" s="21" t="n">
        <v>0</v>
      </c>
      <c r="H409" s="21" t="n">
        <v>0</v>
      </c>
      <c r="J409" s="21" t="n">
        <v>0</v>
      </c>
      <c r="L409" s="21" t="n">
        <v>580</v>
      </c>
    </row>
    <row r="410" s="21" customFormat="true" ht="13.5" hidden="false" customHeight="true" outlineLevel="0" collapsed="false">
      <c r="A410" s="21" t="n">
        <v>4905</v>
      </c>
      <c r="B410" s="21" t="s">
        <v>544</v>
      </c>
      <c r="C410" s="21" t="n">
        <v>6</v>
      </c>
      <c r="G410" s="21" t="n">
        <v>0</v>
      </c>
      <c r="H410" s="21" t="n">
        <v>0</v>
      </c>
      <c r="J410" s="21" t="n">
        <v>0</v>
      </c>
      <c r="L410" s="21" t="n">
        <v>780</v>
      </c>
    </row>
    <row r="411" s="21" customFormat="true" ht="13.5" hidden="false" customHeight="true" outlineLevel="0" collapsed="false">
      <c r="A411" s="21" t="n">
        <v>4905</v>
      </c>
      <c r="B411" s="21" t="s">
        <v>544</v>
      </c>
      <c r="C411" s="21" t="n">
        <v>7</v>
      </c>
      <c r="G411" s="21" t="n">
        <v>0</v>
      </c>
      <c r="H411" s="21" t="n">
        <v>0</v>
      </c>
      <c r="J411" s="21" t="n">
        <v>0</v>
      </c>
      <c r="L411" s="21" t="n">
        <v>1020</v>
      </c>
    </row>
    <row r="412" s="21" customFormat="true" ht="13.5" hidden="false" customHeight="true" outlineLevel="0" collapsed="false">
      <c r="A412" s="21" t="n">
        <v>4905</v>
      </c>
      <c r="B412" s="21" t="s">
        <v>544</v>
      </c>
      <c r="C412" s="21" t="n">
        <v>8</v>
      </c>
      <c r="G412" s="21" t="n">
        <v>0</v>
      </c>
      <c r="H412" s="21" t="n">
        <v>0</v>
      </c>
      <c r="J412" s="21" t="n">
        <v>0</v>
      </c>
      <c r="L412" s="21" t="n">
        <v>1320</v>
      </c>
    </row>
    <row r="413" s="21" customFormat="true" ht="13.5" hidden="false" customHeight="true" outlineLevel="0" collapsed="false">
      <c r="A413" s="21" t="n">
        <v>4905</v>
      </c>
      <c r="B413" s="21" t="s">
        <v>544</v>
      </c>
      <c r="C413" s="21" t="n">
        <v>9</v>
      </c>
      <c r="G413" s="21" t="n">
        <v>0</v>
      </c>
      <c r="H413" s="21" t="n">
        <v>0</v>
      </c>
      <c r="J413" s="21" t="n">
        <v>0</v>
      </c>
      <c r="L413" s="21" t="n">
        <v>1700</v>
      </c>
    </row>
    <row r="414" s="21" customFormat="true" ht="13.5" hidden="false" customHeight="true" outlineLevel="0" collapsed="false">
      <c r="A414" s="21" t="n">
        <v>4905</v>
      </c>
      <c r="B414" s="21" t="s">
        <v>544</v>
      </c>
      <c r="C414" s="21" t="n">
        <v>10</v>
      </c>
      <c r="G414" s="21" t="n">
        <v>0</v>
      </c>
      <c r="H414" s="21" t="n">
        <v>0</v>
      </c>
      <c r="J414" s="21" t="n">
        <v>0</v>
      </c>
      <c r="L414" s="21" t="n">
        <v>2120</v>
      </c>
    </row>
    <row r="415" s="21" customFormat="true" ht="13.5" hidden="false" customHeight="true" outlineLevel="0" collapsed="false">
      <c r="A415" s="21" t="n">
        <v>4905</v>
      </c>
      <c r="B415" s="21" t="s">
        <v>544</v>
      </c>
      <c r="C415" s="21" t="n">
        <v>11</v>
      </c>
      <c r="G415" s="21" t="n">
        <v>0</v>
      </c>
      <c r="H415" s="21" t="n">
        <v>1</v>
      </c>
      <c r="J415" s="21" t="n">
        <v>0</v>
      </c>
      <c r="L415" s="21" t="n">
        <v>2680</v>
      </c>
    </row>
    <row r="416" s="21" customFormat="true" ht="13.5" hidden="false" customHeight="true" outlineLevel="0" collapsed="false">
      <c r="A416" s="21" t="n">
        <v>4905</v>
      </c>
      <c r="B416" s="21" t="s">
        <v>544</v>
      </c>
      <c r="C416" s="21" t="n">
        <v>12</v>
      </c>
      <c r="G416" s="21" t="n">
        <v>0</v>
      </c>
      <c r="H416" s="21" t="n">
        <v>2</v>
      </c>
      <c r="J416" s="21" t="n">
        <v>0</v>
      </c>
      <c r="L416" s="21" t="n">
        <v>3320</v>
      </c>
    </row>
    <row r="417" s="21" customFormat="true" ht="13.5" hidden="false" customHeight="true" outlineLevel="0" collapsed="false">
      <c r="A417" s="21" t="n">
        <v>4905</v>
      </c>
      <c r="B417" s="21" t="s">
        <v>544</v>
      </c>
      <c r="C417" s="21" t="n">
        <v>13</v>
      </c>
      <c r="G417" s="21" t="n">
        <v>0</v>
      </c>
      <c r="H417" s="21" t="n">
        <v>3</v>
      </c>
      <c r="J417" s="21" t="n">
        <v>0</v>
      </c>
      <c r="L417" s="21" t="n">
        <v>4080</v>
      </c>
    </row>
    <row r="418" s="21" customFormat="true" ht="13.5" hidden="false" customHeight="true" outlineLevel="0" collapsed="false">
      <c r="A418" s="21" t="n">
        <v>4905</v>
      </c>
      <c r="B418" s="21" t="s">
        <v>544</v>
      </c>
      <c r="C418" s="21" t="n">
        <v>14</v>
      </c>
      <c r="G418" s="21" t="n">
        <v>0</v>
      </c>
      <c r="H418" s="21" t="n">
        <v>4</v>
      </c>
      <c r="J418" s="21" t="n">
        <v>0</v>
      </c>
      <c r="L418" s="21" t="n">
        <v>4980</v>
      </c>
    </row>
    <row r="419" s="21" customFormat="true" ht="13.5" hidden="false" customHeight="true" outlineLevel="0" collapsed="false">
      <c r="A419" s="21" t="n">
        <v>4905</v>
      </c>
      <c r="B419" s="21" t="s">
        <v>544</v>
      </c>
      <c r="C419" s="21" t="n">
        <v>15</v>
      </c>
      <c r="G419" s="21" t="n">
        <v>0</v>
      </c>
      <c r="H419" s="21" t="n">
        <v>5</v>
      </c>
      <c r="J419" s="21" t="n">
        <v>0</v>
      </c>
      <c r="L419" s="21" t="n">
        <v>6020</v>
      </c>
    </row>
    <row r="420" s="21" customFormat="true" ht="13.5" hidden="false" customHeight="true" outlineLevel="0" collapsed="false">
      <c r="A420" s="21" t="n">
        <v>4905</v>
      </c>
      <c r="B420" s="21" t="s">
        <v>544</v>
      </c>
      <c r="C420" s="21" t="n">
        <v>16</v>
      </c>
      <c r="G420" s="21" t="n">
        <v>0</v>
      </c>
      <c r="H420" s="21" t="n">
        <v>6</v>
      </c>
      <c r="J420" s="21" t="n">
        <v>0</v>
      </c>
      <c r="L420" s="21" t="n">
        <v>7232</v>
      </c>
    </row>
    <row r="421" s="21" customFormat="true" ht="13.5" hidden="false" customHeight="true" outlineLevel="0" collapsed="false">
      <c r="A421" s="21" t="n">
        <v>4905</v>
      </c>
      <c r="B421" s="21" t="s">
        <v>544</v>
      </c>
      <c r="C421" s="21" t="n">
        <v>17</v>
      </c>
      <c r="G421" s="21" t="n">
        <v>0</v>
      </c>
      <c r="H421" s="21" t="n">
        <v>7</v>
      </c>
      <c r="J421" s="21" t="n">
        <v>0</v>
      </c>
      <c r="L421" s="21" t="n">
        <v>7240</v>
      </c>
    </row>
    <row r="422" s="21" customFormat="true" ht="13.5" hidden="false" customHeight="true" outlineLevel="0" collapsed="false">
      <c r="A422" s="21" t="n">
        <v>4905</v>
      </c>
      <c r="B422" s="21" t="s">
        <v>544</v>
      </c>
      <c r="C422" s="21" t="n">
        <v>18</v>
      </c>
      <c r="G422" s="21" t="n">
        <v>0</v>
      </c>
      <c r="H422" s="21" t="n">
        <v>8</v>
      </c>
      <c r="J422" s="21" t="n">
        <v>0</v>
      </c>
      <c r="L422" s="21" t="n">
        <v>8620</v>
      </c>
    </row>
    <row r="423" s="21" customFormat="true" ht="13.5" hidden="false" customHeight="true" outlineLevel="0" collapsed="false">
      <c r="A423" s="21" t="n">
        <v>4905</v>
      </c>
      <c r="B423" s="21" t="s">
        <v>544</v>
      </c>
      <c r="C423" s="21" t="n">
        <v>19</v>
      </c>
      <c r="G423" s="21" t="n">
        <v>0</v>
      </c>
      <c r="H423" s="21" t="n">
        <v>9</v>
      </c>
      <c r="J423" s="21" t="n">
        <v>0</v>
      </c>
      <c r="L423" s="21" t="n">
        <v>8752</v>
      </c>
    </row>
    <row r="424" s="21" customFormat="true" ht="13.5" hidden="false" customHeight="true" outlineLevel="0" collapsed="false">
      <c r="A424" s="21" t="n">
        <v>4905</v>
      </c>
      <c r="B424" s="21" t="s">
        <v>544</v>
      </c>
      <c r="C424" s="21" t="n">
        <v>20</v>
      </c>
      <c r="G424" s="21" t="n">
        <v>0</v>
      </c>
      <c r="H424" s="21" t="n">
        <v>10</v>
      </c>
      <c r="J424" s="21" t="n">
        <v>0</v>
      </c>
      <c r="L424" s="21" t="n">
        <v>10032</v>
      </c>
    </row>
    <row r="425" s="21" customFormat="true" ht="13.5" hidden="false" customHeight="true" outlineLevel="0" collapsed="false">
      <c r="A425" s="21" t="n">
        <v>4905</v>
      </c>
      <c r="B425" s="21" t="s">
        <v>544</v>
      </c>
      <c r="C425" s="21" t="n">
        <v>21</v>
      </c>
      <c r="G425" s="21" t="n">
        <v>0</v>
      </c>
      <c r="H425" s="21" t="n">
        <v>11</v>
      </c>
      <c r="J425" s="21" t="n">
        <v>1</v>
      </c>
      <c r="L425" s="21" t="n">
        <v>10220</v>
      </c>
    </row>
    <row r="426" s="21" customFormat="true" ht="13.5" hidden="false" customHeight="true" outlineLevel="0" collapsed="false">
      <c r="A426" s="21" t="n">
        <v>4905</v>
      </c>
      <c r="B426" s="21" t="s">
        <v>544</v>
      </c>
      <c r="C426" s="21" t="n">
        <v>22</v>
      </c>
      <c r="G426" s="21" t="n">
        <v>0</v>
      </c>
      <c r="H426" s="21" t="n">
        <v>12</v>
      </c>
      <c r="J426" s="21" t="n">
        <v>1</v>
      </c>
      <c r="L426" s="21" t="n">
        <v>11456</v>
      </c>
    </row>
    <row r="427" s="21" customFormat="true" ht="13.5" hidden="false" customHeight="true" outlineLevel="0" collapsed="false">
      <c r="A427" s="21" t="n">
        <v>4905</v>
      </c>
      <c r="B427" s="21" t="s">
        <v>544</v>
      </c>
      <c r="C427" s="21" t="n">
        <v>23</v>
      </c>
      <c r="G427" s="21" t="n">
        <v>0</v>
      </c>
      <c r="H427" s="21" t="n">
        <v>13</v>
      </c>
      <c r="J427" s="21" t="n">
        <v>1</v>
      </c>
      <c r="L427" s="21" t="n">
        <v>12060</v>
      </c>
    </row>
    <row r="428" s="21" customFormat="true" ht="13.5" hidden="false" customHeight="true" outlineLevel="0" collapsed="false">
      <c r="A428" s="21" t="n">
        <v>4905</v>
      </c>
      <c r="B428" s="21" t="s">
        <v>544</v>
      </c>
      <c r="C428" s="21" t="n">
        <v>24</v>
      </c>
      <c r="G428" s="21" t="n">
        <v>0</v>
      </c>
      <c r="H428" s="21" t="n">
        <v>14</v>
      </c>
      <c r="J428" s="21" t="n">
        <v>1</v>
      </c>
      <c r="L428" s="21" t="n">
        <v>13024</v>
      </c>
    </row>
    <row r="429" s="21" customFormat="true" ht="13.5" hidden="false" customHeight="true" outlineLevel="0" collapsed="false">
      <c r="A429" s="21" t="n">
        <v>4905</v>
      </c>
      <c r="B429" s="21" t="s">
        <v>544</v>
      </c>
      <c r="C429" s="21" t="n">
        <v>25</v>
      </c>
      <c r="G429" s="21" t="n">
        <v>0</v>
      </c>
      <c r="H429" s="21" t="n">
        <v>15</v>
      </c>
      <c r="J429" s="21" t="n">
        <v>1</v>
      </c>
      <c r="L429" s="21" t="n">
        <v>14080</v>
      </c>
    </row>
    <row r="430" s="21" customFormat="true" ht="13.5" hidden="false" customHeight="true" outlineLevel="0" collapsed="false">
      <c r="A430" s="21" t="n">
        <v>4905</v>
      </c>
      <c r="B430" s="21" t="s">
        <v>544</v>
      </c>
      <c r="C430" s="21" t="n">
        <v>26</v>
      </c>
      <c r="G430" s="21" t="n">
        <v>0</v>
      </c>
      <c r="H430" s="21" t="n">
        <v>16</v>
      </c>
      <c r="J430" s="21" t="n">
        <v>1</v>
      </c>
      <c r="L430" s="21" t="n">
        <v>14752</v>
      </c>
    </row>
    <row r="431" s="21" customFormat="true" ht="13.5" hidden="false" customHeight="true" outlineLevel="0" collapsed="false">
      <c r="A431" s="21" t="n">
        <v>4905</v>
      </c>
      <c r="B431" s="21" t="s">
        <v>544</v>
      </c>
      <c r="C431" s="21" t="n">
        <v>27</v>
      </c>
      <c r="G431" s="21" t="n">
        <v>0</v>
      </c>
      <c r="H431" s="21" t="n">
        <v>17</v>
      </c>
      <c r="J431" s="21" t="n">
        <v>1</v>
      </c>
      <c r="L431" s="21" t="n">
        <v>16648</v>
      </c>
    </row>
    <row r="432" s="21" customFormat="true" ht="13.5" hidden="false" customHeight="true" outlineLevel="0" collapsed="false">
      <c r="A432" s="21" t="n">
        <v>4905</v>
      </c>
      <c r="B432" s="21" t="s">
        <v>544</v>
      </c>
      <c r="C432" s="21" t="n">
        <v>28</v>
      </c>
      <c r="G432" s="21" t="n">
        <v>0</v>
      </c>
      <c r="H432" s="21" t="n">
        <v>18</v>
      </c>
      <c r="J432" s="21" t="n">
        <v>1</v>
      </c>
      <c r="L432" s="21" t="n">
        <v>18712</v>
      </c>
    </row>
    <row r="433" s="21" customFormat="true" ht="13.5" hidden="false" customHeight="true" outlineLevel="0" collapsed="false">
      <c r="A433" s="21" t="n">
        <v>4905</v>
      </c>
      <c r="B433" s="21" t="s">
        <v>544</v>
      </c>
      <c r="C433" s="21" t="n">
        <v>29</v>
      </c>
      <c r="G433" s="21" t="n">
        <v>0</v>
      </c>
      <c r="H433" s="21" t="n">
        <v>19</v>
      </c>
      <c r="J433" s="21" t="n">
        <v>1</v>
      </c>
      <c r="L433" s="21" t="n">
        <v>20976</v>
      </c>
    </row>
    <row r="434" s="21" customFormat="true" ht="13.5" hidden="false" customHeight="true" outlineLevel="0" collapsed="false">
      <c r="A434" s="21" t="n">
        <v>4905</v>
      </c>
      <c r="B434" s="21" t="s">
        <v>544</v>
      </c>
      <c r="C434" s="21" t="n">
        <v>30</v>
      </c>
      <c r="G434" s="21" t="n">
        <v>0</v>
      </c>
      <c r="H434" s="21" t="n">
        <v>20</v>
      </c>
      <c r="J434" s="21" t="n">
        <v>1</v>
      </c>
      <c r="L434" s="21" t="n">
        <v>23432</v>
      </c>
    </row>
    <row r="435" s="21" customFormat="true" ht="13.5" hidden="false" customHeight="true" outlineLevel="0" collapsed="false">
      <c r="A435" s="21" t="n">
        <v>4905</v>
      </c>
      <c r="B435" s="21" t="s">
        <v>544</v>
      </c>
      <c r="C435" s="21" t="n">
        <v>31</v>
      </c>
      <c r="G435" s="21" t="n">
        <v>0</v>
      </c>
      <c r="H435" s="21" t="n">
        <v>21</v>
      </c>
      <c r="J435" s="21" t="n">
        <v>1</v>
      </c>
      <c r="L435" s="21" t="n">
        <v>26096</v>
      </c>
    </row>
    <row r="436" s="21" customFormat="true" ht="13.5" hidden="false" customHeight="true" outlineLevel="0" collapsed="false">
      <c r="A436" s="21" t="n">
        <v>4905</v>
      </c>
      <c r="B436" s="21" t="s">
        <v>544</v>
      </c>
      <c r="C436" s="21" t="n">
        <v>32</v>
      </c>
      <c r="G436" s="21" t="n">
        <v>0</v>
      </c>
      <c r="H436" s="21" t="n">
        <v>22</v>
      </c>
      <c r="J436" s="21" t="n">
        <v>1</v>
      </c>
      <c r="L436" s="21" t="n">
        <v>28976</v>
      </c>
    </row>
    <row r="437" s="21" customFormat="true" ht="13.5" hidden="false" customHeight="true" outlineLevel="0" collapsed="false">
      <c r="A437" s="21" t="n">
        <v>4905</v>
      </c>
      <c r="B437" s="21" t="s">
        <v>544</v>
      </c>
      <c r="C437" s="21" t="n">
        <v>33</v>
      </c>
      <c r="G437" s="21" t="n">
        <v>0</v>
      </c>
      <c r="H437" s="21" t="n">
        <v>23</v>
      </c>
      <c r="J437" s="21" t="n">
        <v>1</v>
      </c>
      <c r="L437" s="21" t="n">
        <v>32104</v>
      </c>
    </row>
    <row r="438" s="21" customFormat="true" ht="13.5" hidden="false" customHeight="true" outlineLevel="0" collapsed="false">
      <c r="A438" s="21" t="n">
        <v>4905</v>
      </c>
      <c r="B438" s="21" t="s">
        <v>544</v>
      </c>
      <c r="C438" s="21" t="n">
        <v>34</v>
      </c>
      <c r="G438" s="21" t="n">
        <v>0</v>
      </c>
      <c r="H438" s="21" t="n">
        <v>24</v>
      </c>
      <c r="J438" s="21" t="n">
        <v>1</v>
      </c>
      <c r="L438" s="21" t="n">
        <v>33488</v>
      </c>
    </row>
    <row r="439" s="21" customFormat="true" ht="13.5" hidden="false" customHeight="true" outlineLevel="0" collapsed="false">
      <c r="A439" s="21" t="n">
        <v>4905</v>
      </c>
      <c r="B439" s="21" t="s">
        <v>544</v>
      </c>
      <c r="C439" s="21" t="n">
        <v>35</v>
      </c>
      <c r="G439" s="21" t="n">
        <v>0</v>
      </c>
      <c r="H439" s="21" t="n">
        <v>25</v>
      </c>
      <c r="J439" s="21" t="n">
        <v>1</v>
      </c>
      <c r="L439" s="21" t="n">
        <v>35464</v>
      </c>
    </row>
    <row r="440" s="21" customFormat="true" ht="13.5" hidden="false" customHeight="true" outlineLevel="0" collapsed="false">
      <c r="A440" s="21" t="n">
        <v>4905</v>
      </c>
      <c r="B440" s="21" t="s">
        <v>544</v>
      </c>
      <c r="C440" s="21" t="n">
        <v>36</v>
      </c>
      <c r="G440" s="21" t="n">
        <v>0</v>
      </c>
      <c r="H440" s="21" t="n">
        <v>26</v>
      </c>
      <c r="J440" s="21" t="n">
        <v>1</v>
      </c>
      <c r="L440" s="21" t="n">
        <v>36384</v>
      </c>
    </row>
    <row r="441" s="21" customFormat="true" ht="13.5" hidden="false" customHeight="true" outlineLevel="0" collapsed="false">
      <c r="A441" s="21" t="n">
        <v>4905</v>
      </c>
      <c r="B441" s="21" t="s">
        <v>544</v>
      </c>
      <c r="C441" s="21" t="n">
        <v>37</v>
      </c>
      <c r="G441" s="21" t="n">
        <v>0</v>
      </c>
      <c r="H441" s="21" t="n">
        <v>27</v>
      </c>
      <c r="J441" s="21" t="n">
        <v>1</v>
      </c>
      <c r="L441" s="21" t="n">
        <v>39096</v>
      </c>
    </row>
    <row r="442" s="21" customFormat="true" ht="13.5" hidden="false" customHeight="true" outlineLevel="0" collapsed="false">
      <c r="A442" s="21" t="n">
        <v>4905</v>
      </c>
      <c r="B442" s="21" t="s">
        <v>544</v>
      </c>
      <c r="C442" s="21" t="n">
        <v>38</v>
      </c>
      <c r="G442" s="21" t="n">
        <v>0</v>
      </c>
      <c r="H442" s="21" t="n">
        <v>28</v>
      </c>
      <c r="J442" s="21" t="n">
        <v>1</v>
      </c>
      <c r="L442" s="21" t="n">
        <v>39468</v>
      </c>
    </row>
    <row r="443" s="21" customFormat="true" ht="13.5" hidden="false" customHeight="true" outlineLevel="0" collapsed="false">
      <c r="A443" s="21" t="n">
        <v>4905</v>
      </c>
      <c r="B443" s="21" t="s">
        <v>544</v>
      </c>
      <c r="C443" s="21" t="n">
        <v>39</v>
      </c>
      <c r="G443" s="21" t="n">
        <v>0</v>
      </c>
      <c r="H443" s="21" t="n">
        <v>29</v>
      </c>
      <c r="J443" s="21" t="n">
        <v>1</v>
      </c>
      <c r="L443" s="21" t="n">
        <v>42744</v>
      </c>
    </row>
    <row r="444" s="21" customFormat="true" ht="13.5" hidden="false" customHeight="true" outlineLevel="0" collapsed="false">
      <c r="A444" s="21" t="n">
        <v>4905</v>
      </c>
      <c r="B444" s="21" t="s">
        <v>544</v>
      </c>
      <c r="C444" s="21" t="n">
        <v>40</v>
      </c>
      <c r="G444" s="21" t="n">
        <v>0</v>
      </c>
      <c r="H444" s="21" t="n">
        <v>30</v>
      </c>
      <c r="J444" s="21" t="n">
        <v>1</v>
      </c>
      <c r="L444" s="21" t="n">
        <v>42936</v>
      </c>
    </row>
    <row r="445" s="21" customFormat="true" ht="13.5" hidden="false" customHeight="true" outlineLevel="0" collapsed="false">
      <c r="A445" s="21" t="n">
        <v>4905</v>
      </c>
      <c r="B445" s="21" t="s">
        <v>544</v>
      </c>
      <c r="C445" s="21" t="n">
        <v>41</v>
      </c>
      <c r="G445" s="21" t="n">
        <v>0</v>
      </c>
      <c r="H445" s="21" t="n">
        <v>31</v>
      </c>
      <c r="J445" s="21" t="n">
        <v>3</v>
      </c>
      <c r="L445" s="21" t="n">
        <v>46216</v>
      </c>
    </row>
    <row r="446" s="21" customFormat="true" ht="13.5" hidden="false" customHeight="true" outlineLevel="0" collapsed="false">
      <c r="A446" s="21" t="n">
        <v>4905</v>
      </c>
      <c r="B446" s="21" t="s">
        <v>544</v>
      </c>
      <c r="C446" s="21" t="n">
        <v>42</v>
      </c>
      <c r="G446" s="21" t="n">
        <v>0</v>
      </c>
      <c r="H446" s="21" t="n">
        <v>32</v>
      </c>
      <c r="J446" s="21" t="n">
        <v>6</v>
      </c>
      <c r="L446" s="21" t="n">
        <v>47168</v>
      </c>
    </row>
    <row r="447" s="21" customFormat="true" ht="13.5" hidden="false" customHeight="true" outlineLevel="0" collapsed="false">
      <c r="A447" s="21" t="n">
        <v>4905</v>
      </c>
      <c r="B447" s="21" t="s">
        <v>544</v>
      </c>
      <c r="C447" s="21" t="n">
        <v>43</v>
      </c>
      <c r="G447" s="21" t="n">
        <v>0</v>
      </c>
      <c r="H447" s="21" t="n">
        <v>33</v>
      </c>
      <c r="J447" s="21" t="n">
        <v>9</v>
      </c>
      <c r="L447" s="21" t="n">
        <v>49896</v>
      </c>
    </row>
    <row r="448" s="21" customFormat="true" ht="13.5" hidden="false" customHeight="true" outlineLevel="0" collapsed="false">
      <c r="A448" s="21" t="n">
        <v>4905</v>
      </c>
      <c r="B448" s="21" t="s">
        <v>544</v>
      </c>
      <c r="C448" s="21" t="n">
        <v>44</v>
      </c>
      <c r="G448" s="21" t="n">
        <v>0</v>
      </c>
      <c r="H448" s="21" t="n">
        <v>34</v>
      </c>
      <c r="J448" s="21" t="n">
        <v>12</v>
      </c>
      <c r="L448" s="21" t="n">
        <v>51632</v>
      </c>
    </row>
    <row r="449" s="21" customFormat="true" ht="13.5" hidden="false" customHeight="true" outlineLevel="0" collapsed="false">
      <c r="A449" s="21" t="n">
        <v>4905</v>
      </c>
      <c r="B449" s="21" t="s">
        <v>544</v>
      </c>
      <c r="C449" s="21" t="n">
        <v>45</v>
      </c>
      <c r="G449" s="21" t="n">
        <v>0</v>
      </c>
      <c r="H449" s="21" t="n">
        <v>35</v>
      </c>
      <c r="J449" s="21" t="n">
        <v>15</v>
      </c>
      <c r="L449" s="21" t="n">
        <v>53788</v>
      </c>
    </row>
    <row r="450" s="21" customFormat="true" ht="13.5" hidden="false" customHeight="true" outlineLevel="0" collapsed="false">
      <c r="A450" s="21" t="n">
        <v>4905</v>
      </c>
      <c r="B450" s="21" t="s">
        <v>544</v>
      </c>
      <c r="C450" s="21" t="n">
        <v>46</v>
      </c>
      <c r="G450" s="21" t="n">
        <v>0</v>
      </c>
      <c r="H450" s="21" t="n">
        <v>36</v>
      </c>
      <c r="J450" s="21" t="n">
        <v>18</v>
      </c>
      <c r="L450" s="21" t="n">
        <v>56416</v>
      </c>
    </row>
    <row r="451" s="21" customFormat="true" ht="13.5" hidden="false" customHeight="true" outlineLevel="0" collapsed="false">
      <c r="A451" s="21" t="n">
        <v>4905</v>
      </c>
      <c r="B451" s="21" t="s">
        <v>544</v>
      </c>
      <c r="C451" s="21" t="n">
        <v>47</v>
      </c>
      <c r="G451" s="21" t="n">
        <v>0</v>
      </c>
      <c r="H451" s="21" t="n">
        <v>37</v>
      </c>
      <c r="J451" s="21" t="n">
        <v>21</v>
      </c>
      <c r="L451" s="21" t="n">
        <v>57904</v>
      </c>
    </row>
    <row r="452" s="21" customFormat="true" ht="13.5" hidden="false" customHeight="true" outlineLevel="0" collapsed="false">
      <c r="A452" s="21" t="n">
        <v>4905</v>
      </c>
      <c r="B452" s="21" t="s">
        <v>544</v>
      </c>
      <c r="C452" s="21" t="n">
        <v>48</v>
      </c>
      <c r="G452" s="21" t="n">
        <v>0</v>
      </c>
      <c r="H452" s="21" t="n">
        <v>38</v>
      </c>
      <c r="J452" s="21" t="n">
        <v>24</v>
      </c>
      <c r="L452" s="21" t="n">
        <v>61528</v>
      </c>
    </row>
    <row r="453" s="21" customFormat="true" ht="13.5" hidden="false" customHeight="true" outlineLevel="0" collapsed="false">
      <c r="A453" s="21" t="n">
        <v>4905</v>
      </c>
      <c r="B453" s="21" t="s">
        <v>544</v>
      </c>
      <c r="C453" s="21" t="n">
        <v>49</v>
      </c>
      <c r="G453" s="21" t="n">
        <v>0</v>
      </c>
      <c r="H453" s="21" t="n">
        <v>39</v>
      </c>
      <c r="J453" s="21" t="n">
        <v>27</v>
      </c>
      <c r="L453" s="21" t="n">
        <v>62248</v>
      </c>
    </row>
    <row r="454" s="21" customFormat="true" ht="13.5" hidden="false" customHeight="true" outlineLevel="0" collapsed="false">
      <c r="A454" s="21" t="n">
        <v>4905</v>
      </c>
      <c r="B454" s="21" t="s">
        <v>544</v>
      </c>
      <c r="C454" s="21" t="n">
        <v>50</v>
      </c>
      <c r="G454" s="21" t="n">
        <v>0</v>
      </c>
      <c r="H454" s="21" t="n">
        <v>40</v>
      </c>
      <c r="J454" s="21" t="n">
        <v>30</v>
      </c>
      <c r="L454" s="21" t="n">
        <v>66836</v>
      </c>
    </row>
    <row r="455" s="21" customFormat="true" ht="13.5" hidden="false" customHeight="true" outlineLevel="0" collapsed="false">
      <c r="A455" s="21" t="n">
        <v>4905</v>
      </c>
      <c r="B455" s="21" t="s">
        <v>544</v>
      </c>
      <c r="C455" s="21" t="n">
        <v>51</v>
      </c>
      <c r="G455" s="21" t="n">
        <v>0</v>
      </c>
      <c r="H455" s="21" t="n">
        <v>41</v>
      </c>
      <c r="J455" s="21" t="n">
        <v>33</v>
      </c>
      <c r="L455" s="21" t="n">
        <v>71668</v>
      </c>
    </row>
    <row r="456" s="21" customFormat="true" ht="13.5" hidden="false" customHeight="true" outlineLevel="0" collapsed="false">
      <c r="A456" s="21" t="n">
        <v>4905</v>
      </c>
      <c r="B456" s="21" t="s">
        <v>544</v>
      </c>
      <c r="C456" s="21" t="n">
        <v>52</v>
      </c>
      <c r="G456" s="21" t="n">
        <v>0</v>
      </c>
      <c r="H456" s="21" t="n">
        <v>42</v>
      </c>
      <c r="J456" s="21" t="n">
        <v>36</v>
      </c>
      <c r="L456" s="21" t="n">
        <v>76760</v>
      </c>
    </row>
    <row r="457" s="21" customFormat="true" ht="13.5" hidden="false" customHeight="true" outlineLevel="0" collapsed="false">
      <c r="A457" s="21" t="n">
        <v>4905</v>
      </c>
      <c r="B457" s="21" t="s">
        <v>544</v>
      </c>
      <c r="C457" s="21" t="n">
        <v>53</v>
      </c>
      <c r="G457" s="21" t="n">
        <v>0</v>
      </c>
      <c r="H457" s="21" t="n">
        <v>43</v>
      </c>
      <c r="J457" s="21" t="n">
        <v>39</v>
      </c>
      <c r="L457" s="21" t="n">
        <v>82116</v>
      </c>
    </row>
    <row r="458" s="21" customFormat="true" ht="13.5" hidden="false" customHeight="true" outlineLevel="0" collapsed="false">
      <c r="A458" s="21" t="n">
        <v>4905</v>
      </c>
      <c r="B458" s="21" t="s">
        <v>544</v>
      </c>
      <c r="C458" s="21" t="n">
        <v>54</v>
      </c>
      <c r="G458" s="21" t="n">
        <v>0</v>
      </c>
      <c r="H458" s="21" t="n">
        <v>44</v>
      </c>
      <c r="J458" s="21" t="n">
        <v>42</v>
      </c>
      <c r="L458" s="21" t="n">
        <v>87744</v>
      </c>
    </row>
    <row r="459" s="21" customFormat="true" ht="13.5" hidden="false" customHeight="true" outlineLevel="0" collapsed="false">
      <c r="A459" s="21" t="n">
        <v>4905</v>
      </c>
      <c r="B459" s="21" t="s">
        <v>544</v>
      </c>
      <c r="C459" s="21" t="n">
        <v>55</v>
      </c>
      <c r="G459" s="21" t="n">
        <v>0</v>
      </c>
      <c r="H459" s="21" t="n">
        <v>45</v>
      </c>
      <c r="J459" s="21" t="n">
        <v>45</v>
      </c>
      <c r="L459" s="21" t="n">
        <v>93656</v>
      </c>
    </row>
    <row r="460" s="21" customFormat="true" ht="13.5" hidden="false" customHeight="true" outlineLevel="0" collapsed="false">
      <c r="A460" s="21" t="n">
        <v>4905</v>
      </c>
      <c r="B460" s="21" t="s">
        <v>544</v>
      </c>
      <c r="C460" s="21" t="n">
        <v>56</v>
      </c>
      <c r="G460" s="21" t="n">
        <v>0</v>
      </c>
      <c r="H460" s="21" t="n">
        <v>46</v>
      </c>
      <c r="J460" s="21" t="n">
        <v>48</v>
      </c>
      <c r="L460" s="21" t="n">
        <v>99864</v>
      </c>
    </row>
    <row r="461" s="21" customFormat="true" ht="13.5" hidden="false" customHeight="true" outlineLevel="0" collapsed="false">
      <c r="A461" s="21" t="n">
        <v>4905</v>
      </c>
      <c r="B461" s="21" t="s">
        <v>544</v>
      </c>
      <c r="C461" s="21" t="n">
        <v>57</v>
      </c>
      <c r="G461" s="21" t="n">
        <v>0</v>
      </c>
      <c r="H461" s="21" t="n">
        <v>47</v>
      </c>
      <c r="J461" s="21" t="n">
        <v>51</v>
      </c>
      <c r="L461" s="21" t="n">
        <v>106372</v>
      </c>
    </row>
    <row r="462" s="21" customFormat="true" ht="13.5" hidden="false" customHeight="true" outlineLevel="0" collapsed="false">
      <c r="A462" s="21" t="n">
        <v>4905</v>
      </c>
      <c r="B462" s="21" t="s">
        <v>544</v>
      </c>
      <c r="C462" s="21" t="n">
        <v>58</v>
      </c>
      <c r="G462" s="21" t="n">
        <v>0</v>
      </c>
      <c r="H462" s="21" t="n">
        <v>48</v>
      </c>
      <c r="J462" s="21" t="n">
        <v>54</v>
      </c>
      <c r="L462" s="21" t="n">
        <v>113192</v>
      </c>
    </row>
    <row r="463" s="21" customFormat="true" ht="13.5" hidden="false" customHeight="true" outlineLevel="0" collapsed="false">
      <c r="A463" s="21" t="n">
        <v>4905</v>
      </c>
      <c r="B463" s="21" t="s">
        <v>544</v>
      </c>
      <c r="C463" s="21" t="n">
        <v>59</v>
      </c>
      <c r="G463" s="21" t="n">
        <v>0</v>
      </c>
      <c r="H463" s="21" t="n">
        <v>49</v>
      </c>
      <c r="J463" s="21" t="n">
        <v>57</v>
      </c>
      <c r="L463" s="21" t="n">
        <v>120336</v>
      </c>
    </row>
    <row r="464" s="21" customFormat="true" ht="13.5" hidden="false" customHeight="true" outlineLevel="0" collapsed="false">
      <c r="A464" s="21" t="n">
        <v>4905</v>
      </c>
      <c r="B464" s="21" t="s">
        <v>544</v>
      </c>
      <c r="C464" s="21" t="n">
        <v>60</v>
      </c>
      <c r="G464" s="21" t="n">
        <v>0</v>
      </c>
      <c r="H464" s="21" t="n">
        <v>50</v>
      </c>
      <c r="J464" s="21" t="n">
        <v>60</v>
      </c>
      <c r="L464" s="21" t="n">
        <v>127808</v>
      </c>
    </row>
    <row r="465" s="21" customFormat="true" ht="13.5" hidden="false" customHeight="true" outlineLevel="0" collapsed="false">
      <c r="A465" s="21" t="n">
        <v>4905</v>
      </c>
      <c r="B465" s="21" t="s">
        <v>544</v>
      </c>
      <c r="C465" s="21" t="n">
        <v>61</v>
      </c>
      <c r="G465" s="21" t="n">
        <v>1000</v>
      </c>
      <c r="H465" s="21" t="n">
        <v>51</v>
      </c>
      <c r="J465" s="21" t="n">
        <v>65</v>
      </c>
      <c r="L465" s="21" t="n">
        <v>135620</v>
      </c>
    </row>
    <row r="466" s="21" customFormat="true" ht="13.5" hidden="false" customHeight="true" outlineLevel="0" collapsed="false">
      <c r="A466" s="21" t="n">
        <v>4905</v>
      </c>
      <c r="B466" s="21" t="s">
        <v>544</v>
      </c>
      <c r="C466" s="21" t="n">
        <v>62</v>
      </c>
      <c r="G466" s="21" t="n">
        <v>1500</v>
      </c>
      <c r="H466" s="21" t="n">
        <v>52</v>
      </c>
      <c r="J466" s="21" t="n">
        <v>70</v>
      </c>
      <c r="L466" s="21" t="n">
        <v>143784</v>
      </c>
    </row>
    <row r="467" s="21" customFormat="true" ht="13.5" hidden="false" customHeight="true" outlineLevel="0" collapsed="false">
      <c r="A467" s="21" t="n">
        <v>4905</v>
      </c>
      <c r="B467" s="21" t="s">
        <v>544</v>
      </c>
      <c r="C467" s="21" t="n">
        <v>63</v>
      </c>
      <c r="G467" s="21" t="n">
        <v>2000</v>
      </c>
      <c r="H467" s="21" t="n">
        <v>53</v>
      </c>
      <c r="J467" s="21" t="n">
        <v>75</v>
      </c>
      <c r="L467" s="21" t="n">
        <v>152308</v>
      </c>
    </row>
    <row r="468" s="21" customFormat="true" ht="13.5" hidden="false" customHeight="true" outlineLevel="0" collapsed="false">
      <c r="A468" s="21" t="n">
        <v>4905</v>
      </c>
      <c r="B468" s="21" t="s">
        <v>544</v>
      </c>
      <c r="C468" s="21" t="n">
        <v>64</v>
      </c>
      <c r="G468" s="21" t="n">
        <v>2500</v>
      </c>
      <c r="H468" s="21" t="n">
        <v>54</v>
      </c>
      <c r="J468" s="21" t="n">
        <v>80</v>
      </c>
      <c r="L468" s="21" t="n">
        <v>161208</v>
      </c>
    </row>
    <row r="469" s="21" customFormat="true" ht="13.5" hidden="false" customHeight="true" outlineLevel="0" collapsed="false">
      <c r="A469" s="21" t="n">
        <v>4905</v>
      </c>
      <c r="B469" s="21" t="s">
        <v>544</v>
      </c>
      <c r="C469" s="21" t="n">
        <v>65</v>
      </c>
      <c r="G469" s="21" t="n">
        <v>3000</v>
      </c>
      <c r="H469" s="21" t="n">
        <v>55</v>
      </c>
      <c r="J469" s="21" t="n">
        <v>85</v>
      </c>
      <c r="L469" s="21" t="n">
        <v>170488</v>
      </c>
    </row>
    <row r="470" s="21" customFormat="true" ht="13.5" hidden="false" customHeight="true" outlineLevel="0" collapsed="false">
      <c r="A470" s="21" t="n">
        <v>4905</v>
      </c>
      <c r="B470" s="21" t="s">
        <v>544</v>
      </c>
      <c r="C470" s="21" t="n">
        <v>66</v>
      </c>
      <c r="G470" s="21" t="n">
        <v>3500</v>
      </c>
      <c r="H470" s="21" t="n">
        <v>56</v>
      </c>
      <c r="J470" s="21" t="n">
        <v>90</v>
      </c>
      <c r="L470" s="21" t="n">
        <v>180164</v>
      </c>
    </row>
    <row r="471" s="21" customFormat="true" ht="13.5" hidden="false" customHeight="true" outlineLevel="0" collapsed="false">
      <c r="A471" s="21" t="n">
        <v>4905</v>
      </c>
      <c r="B471" s="21" t="s">
        <v>544</v>
      </c>
      <c r="C471" s="21" t="n">
        <v>67</v>
      </c>
      <c r="G471" s="21" t="n">
        <v>4000</v>
      </c>
      <c r="H471" s="21" t="n">
        <v>57</v>
      </c>
      <c r="J471" s="21" t="n">
        <v>95</v>
      </c>
      <c r="L471" s="21" t="n">
        <v>190244</v>
      </c>
    </row>
    <row r="472" s="21" customFormat="true" ht="13.5" hidden="false" customHeight="true" outlineLevel="0" collapsed="false">
      <c r="A472" s="21" t="n">
        <v>4905</v>
      </c>
      <c r="B472" s="21" t="s">
        <v>544</v>
      </c>
      <c r="C472" s="21" t="n">
        <v>68</v>
      </c>
      <c r="G472" s="21" t="n">
        <v>4500</v>
      </c>
      <c r="H472" s="21" t="n">
        <v>58</v>
      </c>
      <c r="J472" s="21" t="n">
        <v>100</v>
      </c>
      <c r="L472" s="21" t="n">
        <v>200740</v>
      </c>
    </row>
    <row r="473" s="21" customFormat="true" ht="13.5" hidden="false" customHeight="true" outlineLevel="0" collapsed="false">
      <c r="A473" s="21" t="n">
        <v>4905</v>
      </c>
      <c r="B473" s="21" t="s">
        <v>544</v>
      </c>
      <c r="C473" s="21" t="n">
        <v>69</v>
      </c>
      <c r="G473" s="21" t="n">
        <v>5000</v>
      </c>
      <c r="H473" s="21" t="n">
        <v>59</v>
      </c>
      <c r="J473" s="21" t="n">
        <v>105</v>
      </c>
      <c r="L473" s="21" t="n">
        <v>211656</v>
      </c>
    </row>
    <row r="474" s="21" customFormat="true" ht="13.5" hidden="false" customHeight="true" outlineLevel="0" collapsed="false">
      <c r="A474" s="21" t="n">
        <v>4905</v>
      </c>
      <c r="B474" s="21" t="s">
        <v>544</v>
      </c>
      <c r="C474" s="21" t="n">
        <v>70</v>
      </c>
      <c r="G474" s="21" t="n">
        <v>5500</v>
      </c>
      <c r="H474" s="21" t="n">
        <v>60</v>
      </c>
      <c r="J474" s="21" t="n">
        <v>110</v>
      </c>
      <c r="L474" s="21" t="n">
        <v>223016</v>
      </c>
    </row>
    <row r="475" s="21" customFormat="true" ht="13.5" hidden="false" customHeight="true" outlineLevel="0" collapsed="false">
      <c r="A475" s="21" t="n">
        <v>4905</v>
      </c>
      <c r="B475" s="21" t="s">
        <v>544</v>
      </c>
      <c r="C475" s="21" t="n">
        <v>71</v>
      </c>
      <c r="G475" s="21" t="n">
        <v>6000</v>
      </c>
      <c r="H475" s="21" t="n">
        <v>61</v>
      </c>
      <c r="J475" s="21" t="n">
        <v>115</v>
      </c>
      <c r="L475" s="21" t="n">
        <v>234828</v>
      </c>
    </row>
    <row r="476" s="21" customFormat="true" ht="13.5" hidden="false" customHeight="true" outlineLevel="0" collapsed="false">
      <c r="A476" s="21" t="n">
        <v>4905</v>
      </c>
      <c r="B476" s="21" t="s">
        <v>544</v>
      </c>
      <c r="C476" s="21" t="n">
        <v>72</v>
      </c>
      <c r="G476" s="21" t="n">
        <v>6500</v>
      </c>
      <c r="H476" s="21" t="n">
        <v>62</v>
      </c>
      <c r="J476" s="21" t="n">
        <v>120</v>
      </c>
      <c r="L476" s="21" t="n">
        <v>247096</v>
      </c>
    </row>
    <row r="477" s="21" customFormat="true" ht="13.5" hidden="false" customHeight="true" outlineLevel="0" collapsed="false">
      <c r="A477" s="21" t="n">
        <v>4905</v>
      </c>
      <c r="B477" s="21" t="s">
        <v>544</v>
      </c>
      <c r="C477" s="21" t="n">
        <v>73</v>
      </c>
      <c r="G477" s="21" t="n">
        <v>7000</v>
      </c>
      <c r="H477" s="21" t="n">
        <v>63</v>
      </c>
      <c r="J477" s="21" t="n">
        <v>125</v>
      </c>
      <c r="L477" s="21" t="n">
        <v>259840</v>
      </c>
    </row>
    <row r="478" s="21" customFormat="true" ht="13.5" hidden="false" customHeight="true" outlineLevel="0" collapsed="false">
      <c r="A478" s="21" t="n">
        <v>4905</v>
      </c>
      <c r="B478" s="21" t="s">
        <v>544</v>
      </c>
      <c r="C478" s="21" t="n">
        <v>74</v>
      </c>
      <c r="G478" s="21" t="n">
        <v>7500</v>
      </c>
      <c r="H478" s="21" t="n">
        <v>64</v>
      </c>
      <c r="J478" s="21" t="n">
        <v>130</v>
      </c>
      <c r="L478" s="21" t="n">
        <v>273064</v>
      </c>
    </row>
    <row r="479" s="21" customFormat="true" ht="13.5" hidden="false" customHeight="true" outlineLevel="0" collapsed="false">
      <c r="A479" s="21" t="n">
        <v>4905</v>
      </c>
      <c r="B479" s="21" t="s">
        <v>544</v>
      </c>
      <c r="C479" s="21" t="n">
        <v>75</v>
      </c>
      <c r="G479" s="21" t="n">
        <v>8000</v>
      </c>
      <c r="H479" s="21" t="n">
        <v>65</v>
      </c>
      <c r="J479" s="21" t="n">
        <v>135</v>
      </c>
      <c r="L479" s="21" t="n">
        <v>286788</v>
      </c>
    </row>
    <row r="480" s="21" customFormat="true" ht="13.5" hidden="false" customHeight="true" outlineLevel="0" collapsed="false">
      <c r="A480" s="21" t="n">
        <v>4905</v>
      </c>
      <c r="B480" s="21" t="s">
        <v>544</v>
      </c>
      <c r="C480" s="21" t="n">
        <v>76</v>
      </c>
      <c r="G480" s="21" t="n">
        <v>8500</v>
      </c>
      <c r="H480" s="21" t="n">
        <v>66</v>
      </c>
      <c r="J480" s="21" t="n">
        <v>140</v>
      </c>
      <c r="L480" s="21" t="n">
        <v>301024</v>
      </c>
    </row>
    <row r="481" s="21" customFormat="true" ht="13.5" hidden="false" customHeight="true" outlineLevel="0" collapsed="false">
      <c r="A481" s="21" t="n">
        <v>4905</v>
      </c>
      <c r="B481" s="21" t="s">
        <v>544</v>
      </c>
      <c r="C481" s="21" t="n">
        <v>77</v>
      </c>
      <c r="G481" s="21" t="n">
        <v>9000</v>
      </c>
      <c r="H481" s="21" t="n">
        <v>67</v>
      </c>
      <c r="J481" s="21" t="n">
        <v>145</v>
      </c>
      <c r="L481" s="21" t="n">
        <v>315776</v>
      </c>
    </row>
    <row r="482" s="21" customFormat="true" ht="13.5" hidden="false" customHeight="true" outlineLevel="0" collapsed="false">
      <c r="A482" s="21" t="n">
        <v>4905</v>
      </c>
      <c r="B482" s="21" t="s">
        <v>544</v>
      </c>
      <c r="C482" s="21" t="n">
        <v>78</v>
      </c>
      <c r="G482" s="21" t="n">
        <v>9500</v>
      </c>
      <c r="H482" s="21" t="n">
        <v>68</v>
      </c>
      <c r="J482" s="21" t="n">
        <v>150</v>
      </c>
      <c r="L482" s="21" t="n">
        <v>331064</v>
      </c>
    </row>
    <row r="483" s="21" customFormat="true" ht="13.5" hidden="false" customHeight="true" outlineLevel="0" collapsed="false">
      <c r="A483" s="21" t="n">
        <v>4905</v>
      </c>
      <c r="B483" s="21" t="s">
        <v>544</v>
      </c>
      <c r="C483" s="21" t="n">
        <v>79</v>
      </c>
      <c r="G483" s="21" t="n">
        <v>10000</v>
      </c>
      <c r="H483" s="21" t="n">
        <v>69</v>
      </c>
      <c r="J483" s="21" t="n">
        <v>155</v>
      </c>
      <c r="L483" s="21" t="n">
        <v>346896</v>
      </c>
    </row>
    <row r="484" s="21" customFormat="true" ht="13.5" hidden="false" customHeight="true" outlineLevel="0" collapsed="false">
      <c r="A484" s="21" t="n">
        <v>4905</v>
      </c>
      <c r="B484" s="21" t="s">
        <v>544</v>
      </c>
      <c r="C484" s="21" t="n">
        <v>80</v>
      </c>
      <c r="G484" s="21" t="n">
        <v>10500</v>
      </c>
      <c r="H484" s="21" t="n">
        <v>70</v>
      </c>
      <c r="J484" s="21" t="n">
        <v>165</v>
      </c>
      <c r="L484" s="21" t="n">
        <v>363292</v>
      </c>
    </row>
    <row r="485" s="21" customFormat="true" ht="13.5" hidden="false" customHeight="true" outlineLevel="0" collapsed="false">
      <c r="A485" s="21" t="n">
        <v>4905</v>
      </c>
      <c r="B485" s="21" t="s">
        <v>544</v>
      </c>
      <c r="C485" s="21" t="n">
        <v>81</v>
      </c>
      <c r="G485" s="21" t="n">
        <v>11000</v>
      </c>
      <c r="H485" s="21" t="n">
        <v>71</v>
      </c>
      <c r="J485" s="21" t="n">
        <v>175</v>
      </c>
      <c r="L485" s="21" t="n">
        <v>380260</v>
      </c>
    </row>
    <row r="486" s="21" customFormat="true" ht="13.5" hidden="false" customHeight="true" outlineLevel="0" collapsed="false">
      <c r="A486" s="21" t="n">
        <v>4905</v>
      </c>
      <c r="B486" s="21" t="s">
        <v>544</v>
      </c>
      <c r="C486" s="21" t="n">
        <v>82</v>
      </c>
      <c r="G486" s="21" t="n">
        <v>11500</v>
      </c>
      <c r="H486" s="21" t="n">
        <v>72</v>
      </c>
      <c r="J486" s="21" t="n">
        <v>185</v>
      </c>
      <c r="L486" s="21" t="n">
        <v>397808</v>
      </c>
    </row>
    <row r="487" s="21" customFormat="true" ht="13.5" hidden="false" customHeight="true" outlineLevel="0" collapsed="false">
      <c r="A487" s="21" t="n">
        <v>4905</v>
      </c>
      <c r="B487" s="21" t="s">
        <v>544</v>
      </c>
      <c r="C487" s="21" t="n">
        <v>83</v>
      </c>
      <c r="G487" s="21" t="n">
        <v>12000</v>
      </c>
      <c r="H487" s="21" t="n">
        <v>73</v>
      </c>
      <c r="J487" s="21" t="n">
        <v>195</v>
      </c>
      <c r="L487" s="21" t="n">
        <v>415964</v>
      </c>
    </row>
    <row r="488" s="21" customFormat="true" ht="13.5" hidden="false" customHeight="true" outlineLevel="0" collapsed="false">
      <c r="A488" s="21" t="n">
        <v>4905</v>
      </c>
      <c r="B488" s="21" t="s">
        <v>544</v>
      </c>
      <c r="C488" s="21" t="n">
        <v>84</v>
      </c>
      <c r="G488" s="21" t="n">
        <v>12500</v>
      </c>
      <c r="H488" s="21" t="n">
        <v>74</v>
      </c>
      <c r="J488" s="21" t="n">
        <v>205</v>
      </c>
      <c r="L488" s="21" t="n">
        <v>434724</v>
      </c>
    </row>
    <row r="489" s="21" customFormat="true" ht="13.5" hidden="false" customHeight="true" outlineLevel="0" collapsed="false">
      <c r="A489" s="21" t="n">
        <v>4905</v>
      </c>
      <c r="B489" s="21" t="s">
        <v>544</v>
      </c>
      <c r="C489" s="21" t="n">
        <v>85</v>
      </c>
      <c r="G489" s="21" t="n">
        <v>13000</v>
      </c>
      <c r="H489" s="21" t="n">
        <v>75</v>
      </c>
      <c r="J489" s="21" t="n">
        <v>215</v>
      </c>
      <c r="L489" s="21" t="n">
        <v>454112</v>
      </c>
    </row>
    <row r="490" s="21" customFormat="true" ht="13.5" hidden="false" customHeight="true" outlineLevel="0" collapsed="false">
      <c r="A490" s="21" t="n">
        <v>4905</v>
      </c>
      <c r="B490" s="21" t="s">
        <v>544</v>
      </c>
      <c r="C490" s="21" t="n">
        <v>86</v>
      </c>
      <c r="G490" s="21" t="n">
        <v>13500</v>
      </c>
      <c r="H490" s="21" t="n">
        <v>76</v>
      </c>
      <c r="J490" s="21" t="n">
        <v>225</v>
      </c>
      <c r="L490" s="21" t="n">
        <v>474140</v>
      </c>
    </row>
    <row r="491" s="21" customFormat="true" ht="13.5" hidden="false" customHeight="true" outlineLevel="0" collapsed="false">
      <c r="A491" s="21" t="n">
        <v>4905</v>
      </c>
      <c r="B491" s="21" t="s">
        <v>544</v>
      </c>
      <c r="C491" s="21" t="n">
        <v>87</v>
      </c>
      <c r="G491" s="21" t="n">
        <v>14000</v>
      </c>
      <c r="H491" s="21" t="n">
        <v>77</v>
      </c>
      <c r="J491" s="21" t="n">
        <v>235</v>
      </c>
      <c r="L491" s="21" t="n">
        <v>494820</v>
      </c>
    </row>
    <row r="492" s="21" customFormat="true" ht="13.5" hidden="false" customHeight="true" outlineLevel="0" collapsed="false">
      <c r="A492" s="21" t="n">
        <v>4905</v>
      </c>
      <c r="B492" s="21" t="s">
        <v>544</v>
      </c>
      <c r="C492" s="21" t="n">
        <v>88</v>
      </c>
      <c r="G492" s="21" t="n">
        <v>14500</v>
      </c>
      <c r="H492" s="21" t="n">
        <v>78</v>
      </c>
      <c r="J492" s="21" t="n">
        <v>245</v>
      </c>
      <c r="L492" s="21" t="n">
        <v>516168</v>
      </c>
    </row>
    <row r="493" s="21" customFormat="true" ht="13.5" hidden="false" customHeight="true" outlineLevel="0" collapsed="false">
      <c r="A493" s="21" t="n">
        <v>4905</v>
      </c>
      <c r="B493" s="21" t="s">
        <v>544</v>
      </c>
      <c r="C493" s="21" t="n">
        <v>89</v>
      </c>
      <c r="G493" s="21" t="n">
        <v>15000</v>
      </c>
      <c r="H493" s="21" t="n">
        <v>79</v>
      </c>
      <c r="J493" s="21" t="n">
        <v>255</v>
      </c>
      <c r="L493" s="21" t="n">
        <v>538200</v>
      </c>
    </row>
    <row r="494" s="21" customFormat="true" ht="13.5" hidden="false" customHeight="true" outlineLevel="0" collapsed="false">
      <c r="A494" s="21" t="n">
        <v>4905</v>
      </c>
      <c r="B494" s="21" t="s">
        <v>544</v>
      </c>
      <c r="C494" s="21" t="n">
        <v>90</v>
      </c>
      <c r="G494" s="21" t="n">
        <v>15500</v>
      </c>
      <c r="H494" s="21" t="n">
        <v>80</v>
      </c>
      <c r="J494" s="21" t="n">
        <v>265</v>
      </c>
      <c r="L494" s="21" t="n">
        <v>560924</v>
      </c>
    </row>
    <row r="495" s="21" customFormat="true" ht="13.5" hidden="false" customHeight="true" outlineLevel="0" collapsed="false">
      <c r="A495" s="21" t="n">
        <v>4905</v>
      </c>
      <c r="B495" s="21" t="s">
        <v>544</v>
      </c>
      <c r="C495" s="21" t="n">
        <v>91</v>
      </c>
      <c r="G495" s="21" t="n">
        <v>16000</v>
      </c>
      <c r="H495" s="21" t="n">
        <v>81</v>
      </c>
      <c r="J495" s="21" t="n">
        <v>275</v>
      </c>
      <c r="L495" s="21" t="n">
        <v>584356</v>
      </c>
    </row>
    <row r="496" s="21" customFormat="true" ht="13.5" hidden="false" customHeight="true" outlineLevel="0" collapsed="false">
      <c r="A496" s="21" t="n">
        <v>4905</v>
      </c>
      <c r="B496" s="21" t="s">
        <v>544</v>
      </c>
      <c r="C496" s="21" t="n">
        <v>92</v>
      </c>
      <c r="G496" s="21" t="n">
        <v>16500</v>
      </c>
      <c r="H496" s="21" t="n">
        <v>82</v>
      </c>
      <c r="J496" s="21" t="n">
        <v>285</v>
      </c>
      <c r="L496" s="21" t="n">
        <v>608516</v>
      </c>
    </row>
    <row r="497" s="21" customFormat="true" ht="13.5" hidden="false" customHeight="true" outlineLevel="0" collapsed="false">
      <c r="A497" s="21" t="n">
        <v>4905</v>
      </c>
      <c r="B497" s="21" t="s">
        <v>544</v>
      </c>
      <c r="C497" s="21" t="n">
        <v>93</v>
      </c>
      <c r="G497" s="21" t="n">
        <v>17000</v>
      </c>
      <c r="H497" s="21" t="n">
        <v>83</v>
      </c>
      <c r="J497" s="21" t="n">
        <v>295</v>
      </c>
      <c r="L497" s="21" t="n">
        <v>633416</v>
      </c>
    </row>
    <row r="498" s="21" customFormat="true" ht="13.5" hidden="false" customHeight="true" outlineLevel="0" collapsed="false">
      <c r="A498" s="21" t="n">
        <v>4905</v>
      </c>
      <c r="B498" s="21" t="s">
        <v>544</v>
      </c>
      <c r="C498" s="21" t="n">
        <v>94</v>
      </c>
      <c r="G498" s="21" t="n">
        <v>17500</v>
      </c>
      <c r="H498" s="21" t="n">
        <v>84</v>
      </c>
      <c r="J498" s="21" t="n">
        <v>305</v>
      </c>
      <c r="L498" s="21" t="n">
        <v>659064</v>
      </c>
    </row>
    <row r="499" s="21" customFormat="true" ht="13.5" hidden="false" customHeight="true" outlineLevel="0" collapsed="false">
      <c r="A499" s="21" t="n">
        <v>4905</v>
      </c>
      <c r="B499" s="21" t="s">
        <v>544</v>
      </c>
      <c r="C499" s="21" t="n">
        <v>95</v>
      </c>
      <c r="G499" s="21" t="n">
        <v>18000</v>
      </c>
      <c r="H499" s="21" t="n">
        <v>85</v>
      </c>
      <c r="J499" s="21" t="n">
        <v>315</v>
      </c>
      <c r="L499" s="21" t="n">
        <v>685488</v>
      </c>
    </row>
    <row r="500" s="21" customFormat="true" ht="13.5" hidden="false" customHeight="true" outlineLevel="0" collapsed="false">
      <c r="A500" s="21" t="n">
        <v>4905</v>
      </c>
      <c r="B500" s="21" t="s">
        <v>544</v>
      </c>
      <c r="C500" s="21" t="n">
        <v>96</v>
      </c>
      <c r="G500" s="21" t="n">
        <v>18500</v>
      </c>
      <c r="H500" s="21" t="n">
        <v>86</v>
      </c>
      <c r="J500" s="21" t="n">
        <v>325</v>
      </c>
      <c r="L500" s="21" t="n">
        <v>712696</v>
      </c>
    </row>
    <row r="501" s="21" customFormat="true" ht="13.5" hidden="false" customHeight="true" outlineLevel="0" collapsed="false">
      <c r="A501" s="21" t="n">
        <v>4905</v>
      </c>
      <c r="B501" s="21" t="s">
        <v>544</v>
      </c>
      <c r="C501" s="21" t="n">
        <v>97</v>
      </c>
      <c r="G501" s="21" t="n">
        <v>19000</v>
      </c>
      <c r="H501" s="21" t="n">
        <v>87</v>
      </c>
      <c r="J501" s="21" t="n">
        <v>335</v>
      </c>
      <c r="L501" s="21" t="n">
        <v>740700</v>
      </c>
    </row>
    <row r="502" s="21" customFormat="true" ht="13.5" hidden="false" customHeight="true" outlineLevel="0" collapsed="false">
      <c r="A502" s="21" t="n">
        <v>4905</v>
      </c>
      <c r="B502" s="21" t="s">
        <v>544</v>
      </c>
      <c r="C502" s="21" t="n">
        <v>98</v>
      </c>
      <c r="G502" s="21" t="n">
        <v>19500</v>
      </c>
      <c r="H502" s="21" t="n">
        <v>88</v>
      </c>
      <c r="J502" s="21" t="n">
        <v>345</v>
      </c>
      <c r="L502" s="21" t="n">
        <v>769520</v>
      </c>
    </row>
    <row r="503" s="21" customFormat="true" ht="13.5" hidden="false" customHeight="true" outlineLevel="0" collapsed="false">
      <c r="A503" s="21" t="n">
        <v>4905</v>
      </c>
      <c r="B503" s="21" t="s">
        <v>544</v>
      </c>
      <c r="C503" s="21" t="n">
        <v>99</v>
      </c>
      <c r="G503" s="21" t="n">
        <v>20000</v>
      </c>
      <c r="H503" s="21" t="n">
        <v>89</v>
      </c>
      <c r="J503" s="21" t="n">
        <v>355</v>
      </c>
      <c r="L503" s="21" t="n">
        <v>799168</v>
      </c>
    </row>
    <row r="504" s="21" customFormat="true" ht="13.5" hidden="false" customHeight="true" outlineLevel="0" collapsed="false">
      <c r="A504" s="21" t="n">
        <v>4905</v>
      </c>
      <c r="B504" s="21" t="s">
        <v>544</v>
      </c>
      <c r="C504" s="21" t="n">
        <v>100</v>
      </c>
      <c r="G504" s="21" t="n">
        <v>20500</v>
      </c>
      <c r="H504" s="21" t="n">
        <v>90</v>
      </c>
      <c r="J504" s="21" t="n">
        <v>365</v>
      </c>
      <c r="L504" s="21" t="n">
        <v>829668</v>
      </c>
    </row>
  </sheetData>
  <conditionalFormatting sqref="I1:L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openpyxl</dc:creator>
  <dc:description/>
  <dc:language>zh-CN</dc:language>
  <cp:lastModifiedBy>vb aa</cp:lastModifiedBy>
  <dcterms:modified xsi:type="dcterms:W3CDTF">2026-08-24T03:57:48Z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