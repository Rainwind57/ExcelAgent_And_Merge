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tchDan" sheetId="1" state="visible" r:id="rId3"/>
    <sheet name="DanRef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<sst xmlns="http://schemas.openxmlformats.org/spreadsheetml/2006/main" count="24" uniqueCount="23">
  <si>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 xml:space="preserve">match_id</t>
  </si>
  <si>
    <t xml:space="preserve">player_dan</t>
  </si>
  <si>
    <t xml:space="preserve">dan_name_vlookup</t>
  </si>
  <si>
    <t xml:space="preserve">score_lookup</t>
  </si>
  <si>
    <t xml:space="preserve">match_id:int</t>
  </si>
  <si>
    <t xml:space="preserve">player_dan:int</t>
  </si>
  <si>
    <t xml:space="preserve">dan_name:string</t>
  </si>
  <si>
    <t xml:space="preserve">score:int</t>
  </si>
  <si>
    <t xml:space="preserve">dan_id</t>
  </si>
  <si>
    <t xml:space="preserve">dan_name</t>
  </si>
  <si>
    <t xml:space="preserve">base_score</t>
  </si>
  <si>
    <t xml:space="preserve">int</t>
  </si>
  <si>
    <t xml:space="preserve">string</t>
  </si>
  <si>
    <t xml:space="preserve">参考段位1</t>
  </si>
  <si>
    <t xml:space="preserve">参考段位2</t>
  </si>
  <si>
    <t xml:space="preserve">参考段位3</t>
  </si>
  <si>
    <t xml:space="preserve">参考段位4</t>
  </si>
  <si>
    <t xml:space="preserve">参考段位5</t>
  </si>
  <si>
    <t xml:space="preserve">参考段位6</t>
  </si>
  <si>
    <t xml:space="preserve">参考段位7</t>
  </si>
  <si>
    <t xml:space="preserve">参考段位8</t>
  </si>
  <si>
    <t xml:space="preserve">参考段位9</t>
  </si>
  <si>
    <t xml:space="preserve">参考段位10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</si>
</sst>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tru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" hidden="false" customHeight="true" outlineLevel="0" collapsed="false">
      <c r="A3" s="2" t="n">
        <v>9999</v>
      </c>
      <c r="B3" s="2" t="n">
        <v>1</v>
      </c>
      <c r="C3" s="2" t="str">
        <f aca="false">VLOOKUP(B3,DanRef!A:C,2,FALSE())</f>
        <v>参考段位1</v>
      </c>
      <c r="D3" s="2" t="n">
        <f aca="false">VLOOKUP(B3,DanRef!A:C,3,FALSE())</f>
        <v>100</v>
      </c>
    </row>
    <row r="4" customFormat="false" ht="15" hidden="false" customHeight="true" outlineLevel="0" collapsed="false">
      <c r="A4" s="2" t="n">
        <v>1002</v>
      </c>
      <c r="B4" s="2" t="n">
        <v>2</v>
      </c>
      <c r="C4" s="2" t="str">
        <f aca="false">VLOOKUP(B4,DanRef!A:C,2,FALSE())</f>
        <v>参考段位2</v>
      </c>
      <c r="D4" s="2" t="n">
        <f aca="false">VLOOKUP(B4,DanRef!A:C,3,FALSE())</f>
        <v>200</v>
      </c>
    </row>
    <row r="5" customFormat="false" ht="15" hidden="false" customHeight="true" outlineLevel="0" collapsed="false">
      <c r="A5" s="2" t="n">
        <v>1003</v>
      </c>
      <c r="B5" s="2" t="n">
        <v>3</v>
      </c>
      <c r="C5" s="2" t="str">
        <f aca="false">VLOOKUP(B5,DanRef!A:C,2,FALSE())</f>
        <v>参考段位3</v>
      </c>
      <c r="D5" s="2" t="n">
        <f aca="false">VLOOKUP(B5,DanRef!A:C,3,FALSE())</f>
        <v>300</v>
      </c>
    </row>
    <row r="6" customFormat="false" ht="15" hidden="false" customHeight="true" outlineLevel="0" collapsed="false">
      <c r="A6" s="2" t="n">
        <v>1004</v>
      </c>
      <c r="B6" s="2" t="n">
        <v>4</v>
      </c>
      <c r="C6" s="2" t="str">
        <f aca="false">VLOOKUP(B6,DanRef!A:C,2,FALSE())</f>
        <v>参考段位4</v>
      </c>
      <c r="D6" s="2" t="n">
        <f aca="false">VLOOKUP(B6,DanRef!A:C,3,FALSE())</f>
        <v>400</v>
      </c>
    </row>
    <row r="7" customFormat="false" ht="15" hidden="false" customHeight="true" outlineLevel="0" collapsed="false">
      <c r="A7" s="2" t="n">
        <v>1005</v>
      </c>
      <c r="B7" s="2" t="n">
        <v>5</v>
      </c>
      <c r="C7" s="2" t="str">
        <f aca="false">VLOOKUP(B7,DanRef!A:C,2,FALSE())</f>
        <v>参考段位5</v>
      </c>
      <c r="D7" s="2" t="n">
        <f aca="false">VLOOKUP(B7,DanRef!A:C,3,FALSE())</f>
        <v>500</v>
      </c>
    </row>
    <row r="8" customFormat="false" ht="15" hidden="false" customHeight="true" outlineLevel="0" collapsed="false">
      <c r="A8" s="2" t="n">
        <v>1006</v>
      </c>
      <c r="B8" s="2" t="n">
        <v>6</v>
      </c>
      <c r="C8" s="2" t="str">
        <f aca="false">VLOOKUP(B8,DanRef!A:C,2,FALSE())</f>
        <v>参考段位6</v>
      </c>
      <c r="D8" s="2" t="n">
        <f aca="false">VLOOKUP(B8,DanRef!A:C,3,FALSE())</f>
        <v>600</v>
      </c>
    </row>
    <row r="9" customFormat="false" ht="15" hidden="false" customHeight="true" outlineLevel="0" collapsed="false">
      <c r="A9" s="2" t="n">
        <v>1007</v>
      </c>
      <c r="B9" s="2" t="n">
        <v>7</v>
      </c>
      <c r="C9" s="2" t="str">
        <f aca="false">VLOOKUP(B9,DanRef!A:C,2,FALSE())</f>
        <v>参考段位7</v>
      </c>
      <c r="D9" s="2" t="n">
        <f aca="false">VLOOKUP(B9,DanRef!A:C,3,FALSE())</f>
        <v>700</v>
      </c>
    </row>
    <row r="10" customFormat="false" ht="15" hidden="false" customHeight="true" outlineLevel="0" collapsed="false">
      <c r="A10" s="2" t="n">
        <v>1008</v>
      </c>
      <c r="B10" s="2" t="n">
        <v>8</v>
      </c>
      <c r="C10" s="2" t="str">
        <f aca="false">VLOOKUP(B10,DanRef!A:C,2,FALSE())</f>
        <v>参考段位8</v>
      </c>
      <c r="D10" s="2" t="n">
        <f aca="false">VLOOKUP(B10,DanRef!A:C,3,FALSE())</f>
        <v>800</v>
      </c>
    </row>
    <row r="11" customFormat="false" ht="15" hidden="false" customHeight="true" outlineLevel="0" collapsed="false">
      <c r="A11" s="2" t="n">
        <v>1009</v>
      </c>
      <c r="B11" s="2" t="n">
        <v>9</v>
      </c>
      <c r="C11" s="2" t="str">
        <f aca="false">VLOOKUP(B11,DanRef!A:C,2,FALSE())</f>
        <v>参考段位9</v>
      </c>
      <c r="D11" s="2" t="n">
        <f aca="false">VLOOKUP(B11,DanRef!A:C,3,FALSE())</f>
        <v>900</v>
      </c>
    </row>
    <row r="12" customFormat="false" ht="15" hidden="false" customHeight="true" outlineLevel="0" collapsed="false">
      <c r="A12" s="2" t="n">
        <v>1010</v>
      </c>
      <c r="B12" s="2" t="n">
        <v>10</v>
      </c>
      <c r="C12" s="2" t="str">
        <f aca="false">VLOOKUP(B12,DanRef!A:C,2,FALSE())</f>
        <v>参考段位10</v>
      </c>
      <c r="D12" s="2" t="n">
        <f aca="false">VLOOKUP(B12,DanRef!A:C,3,FALSE())</f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true" outlineLevel="0" collapsed="false">
      <c r="A1" s="1" t="s">
        <v>8</v>
      </c>
      <c r="B1" s="1" t="s">
        <v>9</v>
      </c>
      <c r="C1" s="1" t="s">
        <v>10</v>
      </c>
    </row>
    <row r="2" customFormat="false" ht="15" hidden="false" customHeight="true" outlineLevel="0" collapsed="false">
      <c r="A2" s="1" t="s">
        <v>11</v>
      </c>
      <c r="B2" s="1" t="s">
        <v>12</v>
      </c>
      <c r="C2" s="1" t="s">
        <v>11</v>
      </c>
    </row>
    <row r="3" customFormat="false" ht="15" hidden="false" customHeight="true" outlineLevel="0" collapsed="false">
      <c r="A3" s="2" t="n">
        <v>1</v>
      </c>
      <c r="B3" s="2" t="s">
        <v>13</v>
      </c>
      <c r="C3" s="2" t="n">
        <v>100</v>
      </c>
    </row>
    <row r="4" customFormat="false" ht="15" hidden="false" customHeight="true" outlineLevel="0" collapsed="false">
      <c r="A4" s="2" t="n">
        <v>2</v>
      </c>
      <c r="B4" s="2" t="s">
        <v>14</v>
      </c>
      <c r="C4" s="2" t="n">
        <v>200</v>
      </c>
    </row>
    <row r="5" customFormat="false" ht="15" hidden="false" customHeight="true" outlineLevel="0" collapsed="false">
      <c r="A5" s="2" t="n">
        <v>3</v>
      </c>
      <c r="B5" s="2" t="s">
        <v>15</v>
      </c>
      <c r="C5" s="2" t="n">
        <v>300</v>
      </c>
    </row>
    <row r="6" customFormat="false" ht="15" hidden="false" customHeight="true" outlineLevel="0" collapsed="false">
      <c r="A6" s="2" t="n">
        <v>4</v>
      </c>
      <c r="B6" s="2" t="s">
        <v>16</v>
      </c>
      <c r="C6" s="2" t="n">
        <v>400</v>
      </c>
    </row>
    <row r="7" customFormat="false" ht="15" hidden="false" customHeight="true" outlineLevel="0" collapsed="false">
      <c r="A7" s="2" t="n">
        <v>5</v>
      </c>
      <c r="B7" s="2" t="s">
        <v>17</v>
      </c>
      <c r="C7" s="2" t="n">
        <v>500</v>
      </c>
    </row>
    <row r="8" customFormat="false" ht="15" hidden="false" customHeight="true" outlineLevel="0" collapsed="false">
      <c r="A8" s="2" t="n">
        <v>6</v>
      </c>
      <c r="B8" s="2" t="s">
        <v>18</v>
      </c>
      <c r="C8" s="2" t="n">
        <v>600</v>
      </c>
    </row>
    <row r="9" customFormat="false" ht="15" hidden="false" customHeight="true" outlineLevel="0" collapsed="false">
      <c r="A9" s="2" t="n">
        <v>7</v>
      </c>
      <c r="B9" s="2" t="s">
        <v>19</v>
      </c>
      <c r="C9" s="2" t="n">
        <v>700</v>
      </c>
    </row>
    <row r="10" customFormat="false" ht="15" hidden="false" customHeight="true" outlineLevel="0" collapsed="false">
      <c r="A10" s="2" t="n">
        <v>8</v>
      </c>
      <c r="B10" s="2" t="s">
        <v>20</v>
      </c>
      <c r="C10" s="2" t="n">
        <v>800</v>
      </c>
    </row>
    <row r="11" customFormat="false" ht="15" hidden="false" customHeight="true" outlineLevel="0" collapsed="false">
      <c r="A11" s="2" t="n">
        <v>9</v>
      </c>
      <c r="B11" s="2" t="s">
        <v>21</v>
      </c>
      <c r="C11" s="2" t="n">
        <v>900</v>
      </c>
    </row>
    <row r="12" customFormat="false" ht="15" hidden="false" customHeight="true" outlineLevel="0" collapsed="false">
      <c r="A12" s="2" t="n">
        <v>10</v>
      </c>
      <c r="B12" s="2" t="s">
        <v>22</v>
      </c>
      <c r="C12" s="2" t="n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2026-07-15T09:46:01Z</dcterms:created>
  <dc:creator>openpyxl</dc:creator>
  <dc:description/>
  <dc:language>zh-CN</dc:language>
  <cp:lastModifiedBy/>
  <dcterms:modified xsi:type="dcterms:W3CDTF">2026-08-21T06:56:10Z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